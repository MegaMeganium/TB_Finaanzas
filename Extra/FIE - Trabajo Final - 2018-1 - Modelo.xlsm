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lagh3\Documents\2018-1\Finanzas\TB_Finaanzas\Extra\"/>
    </mc:Choice>
  </mc:AlternateContent>
  <xr:revisionPtr revIDLastSave="0" documentId="13_ncr:1_{E9B6FF76-3128-4490-A179-C2FF94214DD5}" xr6:coauthVersionLast="31" xr6:coauthVersionMax="31" xr10:uidLastSave="{00000000-0000-0000-0000-000000000000}"/>
  <bookViews>
    <workbookView xWindow="0" yWindow="0" windowWidth="22860" windowHeight="12150" tabRatio="672" activeTab="1" xr2:uid="{00000000-000D-0000-FFFF-FFFF00000000}"/>
  </bookViews>
  <sheets>
    <sheet name="Bono Frances" sheetId="3" r:id="rId1"/>
    <sheet name="Bono Alemán" sheetId="9" r:id="rId2"/>
  </sheets>
  <definedNames>
    <definedName name="_xlnm.Print_Area" localSheetId="1">'Bono Alemán'!$A$1:$M$33</definedName>
    <definedName name="_xlnm.Print_Area" localSheetId="0">'Bono Frances'!$A$1:$M$33</definedName>
  </definedNames>
  <calcPr calcId="179017"/>
</workbook>
</file>

<file path=xl/calcChain.xml><?xml version="1.0" encoding="utf-8"?>
<calcChain xmlns="http://schemas.openxmlformats.org/spreadsheetml/2006/main">
  <c r="F28" i="9" l="1"/>
  <c r="O27" i="9" l="1"/>
  <c r="N27" i="9"/>
  <c r="M27" i="9"/>
  <c r="L10" i="9"/>
  <c r="L7" i="9"/>
  <c r="L8" i="9"/>
  <c r="L6" i="9"/>
  <c r="L4" i="9"/>
  <c r="L5" i="9"/>
  <c r="D26" i="9" l="1"/>
  <c r="L12" i="9"/>
  <c r="L11" i="9"/>
  <c r="I10" i="9"/>
  <c r="I9" i="9"/>
  <c r="B28" i="9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L9" i="9" l="1"/>
  <c r="L4" i="3"/>
  <c r="D26" i="3"/>
  <c r="I41" i="9" l="1"/>
  <c r="I45" i="9"/>
  <c r="I49" i="9"/>
  <c r="I53" i="9"/>
  <c r="I57" i="9"/>
  <c r="J41" i="9"/>
  <c r="J45" i="9"/>
  <c r="J49" i="9"/>
  <c r="J53" i="9"/>
  <c r="J57" i="9"/>
  <c r="I44" i="9"/>
  <c r="I52" i="9"/>
  <c r="J44" i="9"/>
  <c r="J52" i="9"/>
  <c r="I38" i="9"/>
  <c r="I42" i="9"/>
  <c r="I46" i="9"/>
  <c r="I50" i="9"/>
  <c r="I54" i="9"/>
  <c r="J38" i="9"/>
  <c r="J42" i="9"/>
  <c r="J46" i="9"/>
  <c r="J50" i="9"/>
  <c r="J54" i="9"/>
  <c r="I40" i="9"/>
  <c r="I48" i="9"/>
  <c r="I56" i="9"/>
  <c r="J40" i="9"/>
  <c r="J48" i="9"/>
  <c r="J56" i="9"/>
  <c r="I39" i="9"/>
  <c r="I43" i="9"/>
  <c r="I47" i="9"/>
  <c r="I51" i="9"/>
  <c r="I55" i="9"/>
  <c r="J39" i="9"/>
  <c r="J43" i="9"/>
  <c r="J47" i="9"/>
  <c r="J51" i="9"/>
  <c r="J55" i="9"/>
  <c r="F54" i="9"/>
  <c r="M53" i="9"/>
  <c r="D53" i="9"/>
  <c r="K51" i="9"/>
  <c r="F56" i="9"/>
  <c r="M55" i="9"/>
  <c r="D55" i="9"/>
  <c r="K53" i="9"/>
  <c r="F48" i="9"/>
  <c r="M47" i="9"/>
  <c r="D47" i="9"/>
  <c r="K45" i="9"/>
  <c r="F40" i="9"/>
  <c r="M39" i="9"/>
  <c r="D39" i="9"/>
  <c r="K37" i="9"/>
  <c r="F57" i="9"/>
  <c r="M57" i="9"/>
  <c r="D57" i="9"/>
  <c r="K55" i="9"/>
  <c r="F50" i="9"/>
  <c r="M49" i="9"/>
  <c r="D49" i="9"/>
  <c r="K47" i="9"/>
  <c r="F42" i="9"/>
  <c r="M41" i="9"/>
  <c r="D41" i="9"/>
  <c r="K39" i="9"/>
  <c r="D33" i="9"/>
  <c r="K31" i="9"/>
  <c r="K57" i="9"/>
  <c r="F52" i="9"/>
  <c r="M51" i="9"/>
  <c r="D51" i="9"/>
  <c r="K49" i="9"/>
  <c r="F44" i="9"/>
  <c r="M43" i="9"/>
  <c r="D43" i="9"/>
  <c r="K56" i="9"/>
  <c r="F51" i="9"/>
  <c r="G51" i="9" s="1"/>
  <c r="H51" i="9" s="1"/>
  <c r="L51" i="9" s="1"/>
  <c r="M50" i="9"/>
  <c r="D50" i="9"/>
  <c r="K48" i="9"/>
  <c r="F43" i="9"/>
  <c r="G43" i="9" s="1"/>
  <c r="H43" i="9" s="1"/>
  <c r="L43" i="9" s="1"/>
  <c r="M42" i="9"/>
  <c r="D42" i="9"/>
  <c r="K40" i="9"/>
  <c r="D34" i="9"/>
  <c r="K32" i="9"/>
  <c r="K54" i="9"/>
  <c r="F49" i="9"/>
  <c r="F39" i="9"/>
  <c r="K33" i="9"/>
  <c r="M45" i="9"/>
  <c r="M40" i="9"/>
  <c r="D38" i="9"/>
  <c r="K35" i="9"/>
  <c r="M44" i="9"/>
  <c r="K42" i="9"/>
  <c r="K41" i="9"/>
  <c r="F38" i="9"/>
  <c r="K36" i="9"/>
  <c r="D32" i="9"/>
  <c r="K28" i="9"/>
  <c r="D54" i="9"/>
  <c r="M52" i="9"/>
  <c r="K43" i="9"/>
  <c r="K52" i="9"/>
  <c r="M46" i="9"/>
  <c r="K44" i="9"/>
  <c r="D37" i="9"/>
  <c r="K30" i="9"/>
  <c r="D45" i="9"/>
  <c r="D56" i="9"/>
  <c r="M54" i="9"/>
  <c r="F53" i="9"/>
  <c r="G53" i="9" s="1"/>
  <c r="H53" i="9" s="1"/>
  <c r="L53" i="9" s="1"/>
  <c r="F47" i="9"/>
  <c r="G47" i="9" s="1"/>
  <c r="H47" i="9" s="1"/>
  <c r="L47" i="9" s="1"/>
  <c r="D40" i="9"/>
  <c r="M56" i="9"/>
  <c r="F55" i="9"/>
  <c r="G55" i="9" s="1"/>
  <c r="H55" i="9" s="1"/>
  <c r="L55" i="9" s="1"/>
  <c r="M48" i="9"/>
  <c r="K46" i="9"/>
  <c r="D36" i="9"/>
  <c r="D31" i="9"/>
  <c r="K38" i="9"/>
  <c r="D35" i="9"/>
  <c r="D48" i="9"/>
  <c r="D29" i="9"/>
  <c r="D52" i="9"/>
  <c r="F45" i="9"/>
  <c r="D44" i="9"/>
  <c r="F41" i="9"/>
  <c r="G41" i="9" s="1"/>
  <c r="H41" i="9" s="1"/>
  <c r="L41" i="9" s="1"/>
  <c r="M38" i="9"/>
  <c r="K34" i="9"/>
  <c r="D28" i="9"/>
  <c r="G28" i="9" s="1"/>
  <c r="H28" i="9" s="1"/>
  <c r="L28" i="9" s="1"/>
  <c r="K50" i="9"/>
  <c r="F46" i="9"/>
  <c r="K29" i="9"/>
  <c r="D46" i="9"/>
  <c r="D30" i="9"/>
  <c r="I10" i="3"/>
  <c r="I9" i="3"/>
  <c r="G39" i="9" l="1"/>
  <c r="H39" i="9" s="1"/>
  <c r="L39" i="9" s="1"/>
  <c r="N39" i="9" s="1"/>
  <c r="G45" i="9"/>
  <c r="H45" i="9" s="1"/>
  <c r="L45" i="9" s="1"/>
  <c r="N45" i="9" s="1"/>
  <c r="G38" i="9"/>
  <c r="H38" i="9" s="1"/>
  <c r="L38" i="9" s="1"/>
  <c r="N38" i="9" s="1"/>
  <c r="J28" i="9"/>
  <c r="I28" i="9" s="1"/>
  <c r="G57" i="9"/>
  <c r="H57" i="9" s="1"/>
  <c r="L57" i="9" s="1"/>
  <c r="N57" i="9" s="1"/>
  <c r="G56" i="9"/>
  <c r="H56" i="9" s="1"/>
  <c r="L56" i="9" s="1"/>
  <c r="N56" i="9" s="1"/>
  <c r="G50" i="9"/>
  <c r="H50" i="9" s="1"/>
  <c r="L50" i="9" s="1"/>
  <c r="N50" i="9" s="1"/>
  <c r="O47" i="9"/>
  <c r="P47" i="9" s="1"/>
  <c r="N47" i="9"/>
  <c r="O55" i="9"/>
  <c r="P55" i="9" s="1"/>
  <c r="N55" i="9"/>
  <c r="O44" i="9"/>
  <c r="P44" i="9" s="1"/>
  <c r="O48" i="9"/>
  <c r="P48" i="9" s="1"/>
  <c r="O54" i="9"/>
  <c r="P54" i="9" s="1"/>
  <c r="O41" i="9"/>
  <c r="P41" i="9" s="1"/>
  <c r="N41" i="9"/>
  <c r="G48" i="9"/>
  <c r="H48" i="9" s="1"/>
  <c r="L48" i="9" s="1"/>
  <c r="N48" i="9" s="1"/>
  <c r="G49" i="9"/>
  <c r="H49" i="9" s="1"/>
  <c r="L49" i="9" s="1"/>
  <c r="N49" i="9" s="1"/>
  <c r="O51" i="9"/>
  <c r="P51" i="9" s="1"/>
  <c r="N51" i="9"/>
  <c r="G42" i="9"/>
  <c r="H42" i="9" s="1"/>
  <c r="L42" i="9" s="1"/>
  <c r="N42" i="9" s="1"/>
  <c r="O39" i="9"/>
  <c r="P39" i="9" s="1"/>
  <c r="O46" i="9"/>
  <c r="P46" i="9" s="1"/>
  <c r="O42" i="9"/>
  <c r="P42" i="9" s="1"/>
  <c r="G46" i="9"/>
  <c r="H46" i="9" s="1"/>
  <c r="L46" i="9" s="1"/>
  <c r="N46" i="9" s="1"/>
  <c r="O38" i="9"/>
  <c r="P38" i="9" s="1"/>
  <c r="G52" i="9"/>
  <c r="H52" i="9" s="1"/>
  <c r="L52" i="9" s="1"/>
  <c r="N52" i="9" s="1"/>
  <c r="G40" i="9"/>
  <c r="H40" i="9" s="1"/>
  <c r="L40" i="9" s="1"/>
  <c r="N40" i="9" s="1"/>
  <c r="O53" i="9"/>
  <c r="P53" i="9" s="1"/>
  <c r="N53" i="9"/>
  <c r="O45" i="9"/>
  <c r="P45" i="9" s="1"/>
  <c r="O50" i="9"/>
  <c r="P50" i="9" s="1"/>
  <c r="O49" i="9"/>
  <c r="P49" i="9" s="1"/>
  <c r="O56" i="9"/>
  <c r="P56" i="9" s="1"/>
  <c r="O52" i="9"/>
  <c r="P52" i="9" s="1"/>
  <c r="O40" i="9"/>
  <c r="P40" i="9" s="1"/>
  <c r="O43" i="9"/>
  <c r="P43" i="9" s="1"/>
  <c r="N43" i="9"/>
  <c r="G54" i="9"/>
  <c r="H54" i="9" s="1"/>
  <c r="L54" i="9" s="1"/>
  <c r="N54" i="9" s="1"/>
  <c r="G44" i="9"/>
  <c r="H44" i="9" s="1"/>
  <c r="L44" i="9" s="1"/>
  <c r="N44" i="9" s="1"/>
  <c r="O57" i="9"/>
  <c r="P57" i="9" s="1"/>
  <c r="L12" i="3"/>
  <c r="L10" i="3"/>
  <c r="L11" i="3"/>
  <c r="L5" i="3"/>
  <c r="L8" i="3" s="1"/>
  <c r="L6" i="3"/>
  <c r="L7" i="3" s="1"/>
  <c r="Q51" i="9" l="1"/>
  <c r="R51" i="9"/>
  <c r="R54" i="9"/>
  <c r="Q54" i="9"/>
  <c r="R56" i="9"/>
  <c r="Q56" i="9"/>
  <c r="R38" i="9"/>
  <c r="Q38" i="9"/>
  <c r="R46" i="9"/>
  <c r="Q46" i="9"/>
  <c r="R48" i="9"/>
  <c r="Q48" i="9"/>
  <c r="Q43" i="9"/>
  <c r="R43" i="9"/>
  <c r="Q40" i="9"/>
  <c r="R40" i="9"/>
  <c r="R49" i="9"/>
  <c r="Q49" i="9"/>
  <c r="Q47" i="9"/>
  <c r="R47" i="9"/>
  <c r="Q45" i="9"/>
  <c r="R45" i="9"/>
  <c r="Q55" i="9"/>
  <c r="R55" i="9"/>
  <c r="R50" i="9"/>
  <c r="Q50" i="9"/>
  <c r="R39" i="9"/>
  <c r="Q39" i="9"/>
  <c r="Q53" i="9"/>
  <c r="R53" i="9"/>
  <c r="R57" i="9"/>
  <c r="Q57" i="9"/>
  <c r="Q42" i="9"/>
  <c r="R42" i="9"/>
  <c r="Q41" i="9"/>
  <c r="R41" i="9"/>
  <c r="M28" i="9"/>
  <c r="O28" i="9" s="1"/>
  <c r="F29" i="9"/>
  <c r="G29" i="9" s="1"/>
  <c r="J29" i="9" s="1"/>
  <c r="R52" i="9"/>
  <c r="Q52" i="9"/>
  <c r="R44" i="9"/>
  <c r="Q44" i="9"/>
  <c r="L9" i="3"/>
  <c r="H29" i="9" l="1"/>
  <c r="I29" i="9" s="1"/>
  <c r="N28" i="9"/>
  <c r="L29" i="9" l="1"/>
  <c r="F30" i="9"/>
  <c r="G30" i="9" s="1"/>
  <c r="J30" i="9" s="1"/>
  <c r="P28" i="9"/>
  <c r="M29" i="9" l="1"/>
  <c r="O29" i="9" s="1"/>
  <c r="H30" i="9"/>
  <c r="I30" i="9" s="1"/>
  <c r="R28" i="9"/>
  <c r="Q28" i="9"/>
  <c r="O27" i="3"/>
  <c r="M27" i="3"/>
  <c r="N27" i="3" s="1"/>
  <c r="N29" i="9" l="1"/>
  <c r="L30" i="9"/>
  <c r="M30" i="9"/>
  <c r="P29" i="9"/>
  <c r="F31" i="9"/>
  <c r="G31" i="9" s="1"/>
  <c r="B28" i="3"/>
  <c r="J31" i="9" l="1"/>
  <c r="F32" i="9" s="1"/>
  <c r="G32" i="9" s="1"/>
  <c r="O30" i="9"/>
  <c r="N30" i="9"/>
  <c r="Q29" i="9"/>
  <c r="R29" i="9"/>
  <c r="H31" i="9"/>
  <c r="B29" i="3"/>
  <c r="I31" i="9" l="1"/>
  <c r="M31" i="9" s="1"/>
  <c r="H32" i="9"/>
  <c r="J32" i="9"/>
  <c r="F33" i="9" s="1"/>
  <c r="G33" i="9" s="1"/>
  <c r="L31" i="9"/>
  <c r="P30" i="9"/>
  <c r="B30" i="3"/>
  <c r="F28" i="3"/>
  <c r="H33" i="9" l="1"/>
  <c r="J33" i="9"/>
  <c r="F34" i="9" s="1"/>
  <c r="G34" i="9" s="1"/>
  <c r="L32" i="9"/>
  <c r="I32" i="9"/>
  <c r="M32" i="9" s="1"/>
  <c r="R30" i="9"/>
  <c r="Q30" i="9"/>
  <c r="O31" i="9"/>
  <c r="N31" i="9"/>
  <c r="B31" i="3"/>
  <c r="K30" i="3"/>
  <c r="K34" i="3"/>
  <c r="K38" i="3"/>
  <c r="K42" i="3"/>
  <c r="K46" i="3"/>
  <c r="K50" i="3"/>
  <c r="K54" i="3"/>
  <c r="K37" i="3"/>
  <c r="K49" i="3"/>
  <c r="K31" i="3"/>
  <c r="K35" i="3"/>
  <c r="K39" i="3"/>
  <c r="K43" i="3"/>
  <c r="K47" i="3"/>
  <c r="K51" i="3"/>
  <c r="K55" i="3"/>
  <c r="K29" i="3"/>
  <c r="K41" i="3"/>
  <c r="K57" i="3"/>
  <c r="K28" i="3"/>
  <c r="K32" i="3"/>
  <c r="K36" i="3"/>
  <c r="K40" i="3"/>
  <c r="K44" i="3"/>
  <c r="K48" i="3"/>
  <c r="K52" i="3"/>
  <c r="K56" i="3"/>
  <c r="K33" i="3"/>
  <c r="K45" i="3"/>
  <c r="K53" i="3"/>
  <c r="D28" i="3"/>
  <c r="G28" i="3" s="1"/>
  <c r="I28" i="3" s="1"/>
  <c r="D50" i="3"/>
  <c r="D46" i="3"/>
  <c r="D43" i="3"/>
  <c r="D34" i="3"/>
  <c r="D45" i="3"/>
  <c r="D37" i="3"/>
  <c r="D56" i="3"/>
  <c r="D53" i="3"/>
  <c r="D29" i="3"/>
  <c r="D51" i="3"/>
  <c r="D47" i="3"/>
  <c r="D48" i="3"/>
  <c r="D36" i="3"/>
  <c r="D55" i="3"/>
  <c r="D52" i="3"/>
  <c r="D33" i="3"/>
  <c r="D31" i="3"/>
  <c r="D54" i="3"/>
  <c r="D42" i="3"/>
  <c r="D41" i="3"/>
  <c r="D38" i="3"/>
  <c r="D32" i="3"/>
  <c r="D30" i="3"/>
  <c r="D57" i="3"/>
  <c r="D49" i="3"/>
  <c r="D44" i="3"/>
  <c r="D40" i="3"/>
  <c r="D39" i="3"/>
  <c r="D35" i="3"/>
  <c r="H34" i="9" l="1"/>
  <c r="J34" i="9"/>
  <c r="F35" i="9" s="1"/>
  <c r="G35" i="9" s="1"/>
  <c r="O32" i="9"/>
  <c r="P32" i="9" s="1"/>
  <c r="N32" i="9"/>
  <c r="L33" i="9"/>
  <c r="I33" i="9"/>
  <c r="M33" i="9" s="1"/>
  <c r="P31" i="9"/>
  <c r="B32" i="3"/>
  <c r="M28" i="3"/>
  <c r="H35" i="9" l="1"/>
  <c r="J35" i="9"/>
  <c r="F36" i="9" s="1"/>
  <c r="G36" i="9" s="1"/>
  <c r="Q32" i="9"/>
  <c r="R32" i="9"/>
  <c r="N33" i="9"/>
  <c r="O33" i="9"/>
  <c r="L34" i="9"/>
  <c r="I34" i="9"/>
  <c r="M34" i="9" s="1"/>
  <c r="O34" i="9" s="1"/>
  <c r="P34" i="9" s="1"/>
  <c r="R31" i="9"/>
  <c r="Q31" i="9"/>
  <c r="B33" i="3"/>
  <c r="H36" i="9" l="1"/>
  <c r="J36" i="9"/>
  <c r="F37" i="9" s="1"/>
  <c r="G37" i="9" s="1"/>
  <c r="Q34" i="9"/>
  <c r="R34" i="9"/>
  <c r="P33" i="9"/>
  <c r="N34" i="9"/>
  <c r="L35" i="9"/>
  <c r="I35" i="9"/>
  <c r="M35" i="9" s="1"/>
  <c r="O35" i="9" s="1"/>
  <c r="P35" i="9" s="1"/>
  <c r="B34" i="3"/>
  <c r="N35" i="9" l="1"/>
  <c r="H37" i="9"/>
  <c r="J37" i="9"/>
  <c r="Q35" i="9"/>
  <c r="R35" i="9"/>
  <c r="Q33" i="9"/>
  <c r="R33" i="9"/>
  <c r="L36" i="9"/>
  <c r="I36" i="9"/>
  <c r="M36" i="9" s="1"/>
  <c r="B35" i="3"/>
  <c r="O28" i="3"/>
  <c r="O36" i="9" l="1"/>
  <c r="N36" i="9"/>
  <c r="L37" i="9"/>
  <c r="I37" i="9"/>
  <c r="M37" i="9" s="1"/>
  <c r="O37" i="9" s="1"/>
  <c r="P37" i="9" s="1"/>
  <c r="M22" i="9"/>
  <c r="B36" i="3"/>
  <c r="Q37" i="9" l="1"/>
  <c r="R37" i="9"/>
  <c r="L22" i="9"/>
  <c r="N37" i="9"/>
  <c r="M23" i="9" s="1"/>
  <c r="P36" i="9"/>
  <c r="L24" i="9"/>
  <c r="L14" i="9"/>
  <c r="L15" i="9"/>
  <c r="M24" i="9"/>
  <c r="B37" i="3"/>
  <c r="R36" i="9" l="1"/>
  <c r="L18" i="9" s="1"/>
  <c r="Q36" i="9"/>
  <c r="L17" i="9" s="1"/>
  <c r="L20" i="9" s="1"/>
  <c r="L23" i="9"/>
  <c r="B38" i="3"/>
  <c r="L19" i="9" l="1"/>
  <c r="B39" i="3"/>
  <c r="B40" i="3" l="1"/>
  <c r="B41" i="3" l="1"/>
  <c r="B42" i="3" l="1"/>
  <c r="B43" i="3" l="1"/>
  <c r="B44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I48" i="3"/>
  <c r="B57" i="3" l="1"/>
  <c r="M48" i="3"/>
  <c r="O48" i="3" s="1"/>
  <c r="J48" i="3"/>
  <c r="F49" i="3" s="1"/>
  <c r="G49" i="3" s="1"/>
  <c r="I49" i="3" l="1"/>
  <c r="M49" i="3" l="1"/>
  <c r="O49" i="3" s="1"/>
  <c r="J49" i="3"/>
  <c r="F50" i="3" s="1"/>
  <c r="G50" i="3" s="1"/>
  <c r="I50" i="3" l="1"/>
  <c r="M50" i="3" l="1"/>
  <c r="J50" i="3"/>
  <c r="F51" i="3" s="1"/>
  <c r="G51" i="3" s="1"/>
  <c r="O50" i="3" l="1"/>
  <c r="I51" i="3"/>
  <c r="J51" i="3" l="1"/>
  <c r="F52" i="3" s="1"/>
  <c r="G52" i="3" s="1"/>
  <c r="M51" i="3"/>
  <c r="O51" i="3" s="1"/>
  <c r="I52" i="3" l="1"/>
  <c r="M52" i="3" l="1"/>
  <c r="O52" i="3" s="1"/>
  <c r="J52" i="3"/>
  <c r="F53" i="3" s="1"/>
  <c r="G53" i="3" s="1"/>
  <c r="I53" i="3" l="1"/>
  <c r="M53" i="3" l="1"/>
  <c r="J53" i="3"/>
  <c r="F54" i="3" s="1"/>
  <c r="G54" i="3" s="1"/>
  <c r="O53" i="3" l="1"/>
  <c r="I54" i="3"/>
  <c r="M54" i="3" l="1"/>
  <c r="O54" i="3" s="1"/>
  <c r="J54" i="3"/>
  <c r="F55" i="3" s="1"/>
  <c r="G55" i="3" s="1"/>
  <c r="I55" i="3" l="1"/>
  <c r="M55" i="3" l="1"/>
  <c r="O55" i="3" s="1"/>
  <c r="J55" i="3"/>
  <c r="F56" i="3" s="1"/>
  <c r="G56" i="3" s="1"/>
  <c r="I56" i="3" l="1"/>
  <c r="M56" i="3" l="1"/>
  <c r="O56" i="3" s="1"/>
  <c r="J56" i="3"/>
  <c r="F57" i="3" s="1"/>
  <c r="G57" i="3" s="1"/>
  <c r="I57" i="3" l="1"/>
  <c r="J57" i="3" l="1"/>
  <c r="M57" i="3"/>
  <c r="O57" i="3" l="1"/>
  <c r="P53" i="3" l="1"/>
  <c r="R53" i="3" s="1"/>
  <c r="P50" i="3"/>
  <c r="R50" i="3" s="1"/>
  <c r="P48" i="3"/>
  <c r="Q48" i="3" s="1"/>
  <c r="P57" i="3"/>
  <c r="Q57" i="3" s="1"/>
  <c r="H57" i="3"/>
  <c r="L57" i="3" s="1"/>
  <c r="N57" i="3" s="1"/>
  <c r="P56" i="3"/>
  <c r="Q56" i="3" s="1"/>
  <c r="H55" i="3"/>
  <c r="L55" i="3" s="1"/>
  <c r="N55" i="3" s="1"/>
  <c r="P55" i="3"/>
  <c r="Q55" i="3" s="1"/>
  <c r="P54" i="3"/>
  <c r="Q54" i="3" s="1"/>
  <c r="P52" i="3"/>
  <c r="Q52" i="3" s="1"/>
  <c r="H51" i="3"/>
  <c r="L51" i="3" s="1"/>
  <c r="N51" i="3" s="1"/>
  <c r="P51" i="3"/>
  <c r="R51" i="3" s="1"/>
  <c r="H49" i="3"/>
  <c r="L49" i="3" s="1"/>
  <c r="N49" i="3" s="1"/>
  <c r="P49" i="3"/>
  <c r="R49" i="3" s="1"/>
  <c r="H50" i="3"/>
  <c r="L50" i="3" s="1"/>
  <c r="N50" i="3" s="1"/>
  <c r="H53" i="3"/>
  <c r="L53" i="3" s="1"/>
  <c r="N53" i="3" s="1"/>
  <c r="H54" i="3"/>
  <c r="L54" i="3" s="1"/>
  <c r="N54" i="3" s="1"/>
  <c r="H56" i="3"/>
  <c r="L56" i="3" s="1"/>
  <c r="N56" i="3" s="1"/>
  <c r="H52" i="3"/>
  <c r="L52" i="3" s="1"/>
  <c r="N52" i="3" s="1"/>
  <c r="P28" i="3"/>
  <c r="Q28" i="3" s="1"/>
  <c r="H28" i="3"/>
  <c r="L28" i="3" l="1"/>
  <c r="N28" i="3" s="1"/>
  <c r="J28" i="3"/>
  <c r="F29" i="3" s="1"/>
  <c r="G29" i="3" s="1"/>
  <c r="R55" i="3"/>
  <c r="R28" i="3"/>
  <c r="R56" i="3"/>
  <c r="R52" i="3"/>
  <c r="R57" i="3"/>
  <c r="R54" i="3"/>
  <c r="Q49" i="3"/>
  <c r="Q51" i="3"/>
  <c r="R48" i="3"/>
  <c r="Q50" i="3"/>
  <c r="Q53" i="3"/>
  <c r="H29" i="3" l="1"/>
  <c r="L29" i="3" s="1"/>
  <c r="I29" i="3"/>
  <c r="M29" i="3" l="1"/>
  <c r="O29" i="3" s="1"/>
  <c r="J29" i="3"/>
  <c r="F30" i="3" s="1"/>
  <c r="G30" i="3" s="1"/>
  <c r="N29" i="3" l="1"/>
  <c r="I30" i="3"/>
  <c r="H30" i="3"/>
  <c r="L30" i="3" s="1"/>
  <c r="P29" i="3"/>
  <c r="Q29" i="3" s="1"/>
  <c r="M30" i="3" l="1"/>
  <c r="J30" i="3"/>
  <c r="F31" i="3" s="1"/>
  <c r="G31" i="3" s="1"/>
  <c r="R29" i="3"/>
  <c r="N30" i="3" l="1"/>
  <c r="O30" i="3"/>
  <c r="P30" i="3" s="1"/>
  <c r="H31" i="3"/>
  <c r="L31" i="3" s="1"/>
  <c r="I31" i="3"/>
  <c r="J31" i="3" l="1"/>
  <c r="F32" i="3" s="1"/>
  <c r="G32" i="3" s="1"/>
  <c r="M31" i="3"/>
  <c r="R30" i="3"/>
  <c r="Q30" i="3"/>
  <c r="O31" i="3" l="1"/>
  <c r="N31" i="3"/>
  <c r="H32" i="3"/>
  <c r="L32" i="3" s="1"/>
  <c r="I32" i="3"/>
  <c r="J32" i="3" l="1"/>
  <c r="F33" i="3" s="1"/>
  <c r="G33" i="3" s="1"/>
  <c r="M32" i="3"/>
  <c r="P31" i="3"/>
  <c r="H33" i="3" l="1"/>
  <c r="L33" i="3" s="1"/>
  <c r="I33" i="3"/>
  <c r="Q31" i="3"/>
  <c r="R31" i="3"/>
  <c r="O32" i="3"/>
  <c r="N32" i="3"/>
  <c r="M33" i="3" l="1"/>
  <c r="N33" i="3" s="1"/>
  <c r="J33" i="3"/>
  <c r="F34" i="3" s="1"/>
  <c r="G34" i="3" s="1"/>
  <c r="P32" i="3"/>
  <c r="I34" i="3" l="1"/>
  <c r="H34" i="3"/>
  <c r="L34" i="3" s="1"/>
  <c r="O33" i="3"/>
  <c r="R32" i="3"/>
  <c r="Q32" i="3"/>
  <c r="P33" i="3" l="1"/>
  <c r="J34" i="3"/>
  <c r="F35" i="3" s="1"/>
  <c r="G35" i="3" s="1"/>
  <c r="M34" i="3"/>
  <c r="N34" i="3" s="1"/>
  <c r="I35" i="3" l="1"/>
  <c r="H35" i="3"/>
  <c r="L35" i="3" s="1"/>
  <c r="O34" i="3"/>
  <c r="Q33" i="3"/>
  <c r="R33" i="3"/>
  <c r="P34" i="3" l="1"/>
  <c r="J35" i="3"/>
  <c r="F36" i="3" s="1"/>
  <c r="G36" i="3" s="1"/>
  <c r="M35" i="3"/>
  <c r="O35" i="3" l="1"/>
  <c r="I36" i="3"/>
  <c r="H36" i="3"/>
  <c r="L36" i="3" s="1"/>
  <c r="N35" i="3"/>
  <c r="Q34" i="3"/>
  <c r="R34" i="3"/>
  <c r="P35" i="3" l="1"/>
  <c r="J36" i="3"/>
  <c r="F37" i="3" s="1"/>
  <c r="G37" i="3" s="1"/>
  <c r="M36" i="3"/>
  <c r="R35" i="3" l="1"/>
  <c r="Q35" i="3"/>
  <c r="I37" i="3"/>
  <c r="H37" i="3"/>
  <c r="L37" i="3" s="1"/>
  <c r="O36" i="3"/>
  <c r="N36" i="3"/>
  <c r="M37" i="3" l="1"/>
  <c r="N37" i="3" s="1"/>
  <c r="J37" i="3"/>
  <c r="F38" i="3" s="1"/>
  <c r="G38" i="3" s="1"/>
  <c r="P36" i="3"/>
  <c r="Q36" i="3" l="1"/>
  <c r="R36" i="3"/>
  <c r="I38" i="3"/>
  <c r="H38" i="3"/>
  <c r="L38" i="3" s="1"/>
  <c r="O37" i="3"/>
  <c r="J38" i="3" l="1"/>
  <c r="F39" i="3" s="1"/>
  <c r="G39" i="3" s="1"/>
  <c r="M38" i="3"/>
  <c r="O38" i="3" s="1"/>
  <c r="P38" i="3" s="1"/>
  <c r="P37" i="3"/>
  <c r="N38" i="3" l="1"/>
  <c r="Q37" i="3"/>
  <c r="R37" i="3"/>
  <c r="Q38" i="3"/>
  <c r="R38" i="3"/>
  <c r="I39" i="3"/>
  <c r="H39" i="3"/>
  <c r="L39" i="3" s="1"/>
  <c r="M39" i="3" l="1"/>
  <c r="O39" i="3" s="1"/>
  <c r="P39" i="3" s="1"/>
  <c r="J39" i="3"/>
  <c r="F40" i="3" s="1"/>
  <c r="G40" i="3" s="1"/>
  <c r="N39" i="3" l="1"/>
  <c r="I40" i="3"/>
  <c r="H40" i="3"/>
  <c r="L40" i="3" s="1"/>
  <c r="Q39" i="3"/>
  <c r="R39" i="3"/>
  <c r="M40" i="3" l="1"/>
  <c r="O40" i="3" s="1"/>
  <c r="P40" i="3" s="1"/>
  <c r="J40" i="3"/>
  <c r="F41" i="3" s="1"/>
  <c r="G41" i="3" s="1"/>
  <c r="N40" i="3" l="1"/>
  <c r="I41" i="3"/>
  <c r="H41" i="3"/>
  <c r="L41" i="3" s="1"/>
  <c r="R40" i="3"/>
  <c r="Q40" i="3"/>
  <c r="J41" i="3" l="1"/>
  <c r="F42" i="3" s="1"/>
  <c r="G42" i="3" s="1"/>
  <c r="M41" i="3"/>
  <c r="O41" i="3" s="1"/>
  <c r="P41" i="3" s="1"/>
  <c r="N41" i="3" l="1"/>
  <c r="Q41" i="3"/>
  <c r="R41" i="3"/>
  <c r="I42" i="3"/>
  <c r="H42" i="3"/>
  <c r="L42" i="3" s="1"/>
  <c r="J42" i="3" l="1"/>
  <c r="F43" i="3" s="1"/>
  <c r="G43" i="3" s="1"/>
  <c r="M42" i="3"/>
  <c r="O42" i="3" s="1"/>
  <c r="P42" i="3" s="1"/>
  <c r="R42" i="3" l="1"/>
  <c r="Q42" i="3"/>
  <c r="I43" i="3"/>
  <c r="H43" i="3"/>
  <c r="L43" i="3" s="1"/>
  <c r="N42" i="3"/>
  <c r="M43" i="3" l="1"/>
  <c r="O43" i="3" s="1"/>
  <c r="P43" i="3" s="1"/>
  <c r="J43" i="3"/>
  <c r="F44" i="3" s="1"/>
  <c r="G44" i="3" s="1"/>
  <c r="I44" i="3" l="1"/>
  <c r="H44" i="3"/>
  <c r="L44" i="3" s="1"/>
  <c r="Q43" i="3"/>
  <c r="R43" i="3"/>
  <c r="N43" i="3"/>
  <c r="M44" i="3" l="1"/>
  <c r="O44" i="3" s="1"/>
  <c r="P44" i="3" s="1"/>
  <c r="J44" i="3"/>
  <c r="F45" i="3" s="1"/>
  <c r="G45" i="3" s="1"/>
  <c r="N44" i="3" l="1"/>
  <c r="I45" i="3"/>
  <c r="H45" i="3"/>
  <c r="L45" i="3" s="1"/>
  <c r="Q44" i="3"/>
  <c r="R44" i="3"/>
  <c r="J45" i="3" l="1"/>
  <c r="F46" i="3" s="1"/>
  <c r="G46" i="3" s="1"/>
  <c r="M45" i="3"/>
  <c r="O45" i="3" s="1"/>
  <c r="P45" i="3" s="1"/>
  <c r="N45" i="3" l="1"/>
  <c r="Q45" i="3"/>
  <c r="R45" i="3"/>
  <c r="I46" i="3"/>
  <c r="H46" i="3"/>
  <c r="L46" i="3" s="1"/>
  <c r="M46" i="3" l="1"/>
  <c r="O46" i="3" s="1"/>
  <c r="P46" i="3" s="1"/>
  <c r="J46" i="3"/>
  <c r="F47" i="3" s="1"/>
  <c r="G47" i="3" s="1"/>
  <c r="I47" i="3" l="1"/>
  <c r="H47" i="3"/>
  <c r="L47" i="3" s="1"/>
  <c r="Q46" i="3"/>
  <c r="R46" i="3"/>
  <c r="N46" i="3"/>
  <c r="J47" i="3" l="1"/>
  <c r="F48" i="3" s="1"/>
  <c r="G48" i="3" s="1"/>
  <c r="H48" i="3" s="1"/>
  <c r="L48" i="3" s="1"/>
  <c r="N48" i="3" s="1"/>
  <c r="M47" i="3"/>
  <c r="N47" i="3" s="1"/>
  <c r="O47" i="3" l="1"/>
  <c r="L22" i="3"/>
  <c r="M22" i="3"/>
  <c r="L23" i="3"/>
  <c r="M23" i="3"/>
  <c r="P47" i="3" l="1"/>
  <c r="L24" i="3"/>
  <c r="L14" i="3"/>
  <c r="M24" i="3"/>
  <c r="L15" i="3"/>
  <c r="Q47" i="3" l="1"/>
  <c r="L17" i="3" s="1"/>
  <c r="L20" i="3" s="1"/>
  <c r="R47" i="3"/>
  <c r="L18" i="3" s="1"/>
  <c r="L1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pcafgque (Quevedo Sanchez, Gregorio Vladimir)</author>
  </authors>
  <commentList>
    <comment ref="E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Siempre se expresa como tasa efectiva annual (TEA)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pcafgque (Quevedo Sanchez, Gregorio Vladimir)</author>
  </authors>
  <commentList>
    <comment ref="E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Siempre se expresa como tasa efectiva annual (TEA)</t>
        </r>
      </text>
    </comment>
  </commentList>
</comments>
</file>

<file path=xl/sharedStrings.xml><?xml version="1.0" encoding="utf-8"?>
<sst xmlns="http://schemas.openxmlformats.org/spreadsheetml/2006/main" count="190" uniqueCount="65">
  <si>
    <t>Nº de Años</t>
  </si>
  <si>
    <t>Dias x Año</t>
  </si>
  <si>
    <t>Imp. a la Renta</t>
  </si>
  <si>
    <t>% Prima</t>
  </si>
  <si>
    <t>% Colocación</t>
  </si>
  <si>
    <t>% Flotación</t>
  </si>
  <si>
    <t>Nº</t>
  </si>
  <si>
    <t>Bono</t>
  </si>
  <si>
    <t>Bono Indexado</t>
  </si>
  <si>
    <t>Cupon (Interes)</t>
  </si>
  <si>
    <t>Prima</t>
  </si>
  <si>
    <t>Escudo</t>
  </si>
  <si>
    <t>Flujo Emisor</t>
  </si>
  <si>
    <t>Flujo Emisor c/Escudo</t>
  </si>
  <si>
    <t>% Estructuración</t>
  </si>
  <si>
    <t>% CAVALI</t>
  </si>
  <si>
    <t>Flujo Bonista</t>
  </si>
  <si>
    <t>Valor Nominal</t>
  </si>
  <si>
    <t>Valor Comercial</t>
  </si>
  <si>
    <t>Duración</t>
  </si>
  <si>
    <t>Convexidad</t>
  </si>
  <si>
    <t>Total</t>
  </si>
  <si>
    <t>Duración modificada</t>
  </si>
  <si>
    <t>FA x Plazo</t>
  </si>
  <si>
    <t>Factor p/Convexidad</t>
  </si>
  <si>
    <t>Flujo Act.</t>
  </si>
  <si>
    <t>TCEA Emisor</t>
  </si>
  <si>
    <t>TCEA Emisor c/Escudo</t>
  </si>
  <si>
    <t>TREA Bonista</t>
  </si>
  <si>
    <t>Amort.</t>
  </si>
  <si>
    <t>BONO VAC - FRANCES</t>
  </si>
  <si>
    <t>Plazo de Gracia</t>
  </si>
  <si>
    <t>S</t>
  </si>
  <si>
    <t>Cuota</t>
  </si>
  <si>
    <t>Ambos</t>
  </si>
  <si>
    <t>Emisor</t>
  </si>
  <si>
    <t>Fecha Programada</t>
  </si>
  <si>
    <t>… de los costes/Gastos Iniciales</t>
  </si>
  <si>
    <t>… del Bono</t>
  </si>
  <si>
    <t>… del Precio Actual y Utilidad</t>
  </si>
  <si>
    <t>… Ratios de decisión</t>
  </si>
  <si>
    <t>Precio Actual</t>
  </si>
  <si>
    <t>Utilidad / Pérdida</t>
  </si>
  <si>
    <t>Datos …</t>
  </si>
  <si>
    <t>Resultados …</t>
  </si>
  <si>
    <t>Fecha de Emisión</t>
  </si>
  <si>
    <t>Inflación Anual</t>
  </si>
  <si>
    <t>Costes Iniciales Emisor</t>
  </si>
  <si>
    <t>Tasa efectiva anual</t>
  </si>
  <si>
    <t>Tasa anual de descuento</t>
  </si>
  <si>
    <t>Costes Iniciales Bonista</t>
  </si>
  <si>
    <t>Tasa de interés</t>
  </si>
  <si>
    <t>Capitalización</t>
  </si>
  <si>
    <t>Tipo de Tasa de Interés</t>
  </si>
  <si>
    <t>Semestral</t>
  </si>
  <si>
    <t>Frecuencia del cupón</t>
  </si>
  <si>
    <t>Días capitalización</t>
  </si>
  <si>
    <t>… de la estructuración del Bono</t>
  </si>
  <si>
    <t>Efectiva</t>
  </si>
  <si>
    <t>Nº Períodos por Año</t>
  </si>
  <si>
    <t>Nº Total de Periodos</t>
  </si>
  <si>
    <t>… de los Indicadores de Rentabilidad</t>
  </si>
  <si>
    <t>BONO VAC - ALEMÁN</t>
  </si>
  <si>
    <t>Diaria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</si>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</sst>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_ * #,##0_ ;_ * \-#,##0_ ;_ * &quot;-&quot;??_ ;_ @_ "/>
    <numFmt numFmtId="168" formatCode="0.000%"/>
    <numFmt numFmtId="169" formatCode="0.00000%"/>
    <numFmt numFmtId="170" formatCode="0.0%"/>
    <numFmt numFmtId="171" formatCode="#,##0.00_ ;\-#,##0.00\ "/>
    <numFmt numFmtId="172" formatCode="[Blue]&quot;$&quot;\ #,##0.00_);[Red]\(&quot;$&quot;\ #,##0.00\)"/>
    <numFmt numFmtId="173" formatCode="[Blue]\ #,##0.00_);[Red]\(\ #,##0.00\)"/>
    <numFmt numFmtId="174" formatCode="dd/mm/yyyy;@"/>
    <numFmt numFmtId="175" formatCode="0.0000%"/>
  </numFmts>
  <fonts count="10" x14ac:knownFonts="1">
    <font>
      <sz val="10"/>
      <name val="Arial"/>
    </font>
    <font>
      <sz val="10"/>
      <name val="Arial"/>
      <family val="2"/>
    </font>
    <font>
      <b/>
      <sz val="13"/>
      <color indexed="16"/>
      <name val="Comic Sans MS"/>
      <family val="4"/>
    </font>
    <font>
      <sz val="10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0"/>
      <color indexed="12"/>
      <name val="Calibri"/>
      <family val="2"/>
      <scheme val="minor"/>
    </font>
    <font>
      <b/>
      <sz val="10"/>
      <color indexed="10"/>
      <name val="Calibri"/>
      <family val="2"/>
    </font>
    <font>
      <b/>
      <sz val="10"/>
      <color rgb="FF008000"/>
      <name val="Calibri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27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27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7">
    <xf numFmtId="0" fontId="0" fillId="0" borderId="0" xfId="0"/>
    <xf numFmtId="165" fontId="3" fillId="0" borderId="1" xfId="1" applyFont="1" applyFill="1" applyBorder="1" applyAlignment="1">
      <alignment horizontal="center"/>
    </xf>
    <xf numFmtId="165" fontId="3" fillId="0" borderId="1" xfId="1" applyFont="1" applyFill="1" applyBorder="1"/>
    <xf numFmtId="0" fontId="3" fillId="0" borderId="0" xfId="0" applyFont="1"/>
    <xf numFmtId="166" fontId="3" fillId="0" borderId="1" xfId="1" applyNumberFormat="1" applyFont="1" applyFill="1" applyBorder="1"/>
    <xf numFmtId="167" fontId="3" fillId="0" borderId="1" xfId="0" applyNumberFormat="1" applyFont="1" applyFill="1" applyBorder="1"/>
    <xf numFmtId="9" fontId="3" fillId="0" borderId="1" xfId="3" applyNumberFormat="1" applyFont="1" applyFill="1" applyBorder="1"/>
    <xf numFmtId="168" fontId="3" fillId="0" borderId="1" xfId="3" applyNumberFormat="1" applyFont="1" applyFill="1" applyBorder="1"/>
    <xf numFmtId="168" fontId="3" fillId="0" borderId="1" xfId="2" applyNumberFormat="1" applyFont="1" applyFill="1" applyBorder="1"/>
    <xf numFmtId="166" fontId="3" fillId="3" borderId="1" xfId="1" applyNumberFormat="1" applyFont="1" applyFill="1" applyBorder="1"/>
    <xf numFmtId="168" fontId="3" fillId="3" borderId="1" xfId="3" applyNumberFormat="1" applyFont="1" applyFill="1" applyBorder="1"/>
    <xf numFmtId="169" fontId="3" fillId="3" borderId="1" xfId="0" applyNumberFormat="1" applyFont="1" applyFill="1" applyBorder="1"/>
    <xf numFmtId="169" fontId="3" fillId="3" borderId="1" xfId="3" applyNumberFormat="1" applyFont="1" applyFill="1" applyBorder="1"/>
    <xf numFmtId="172" fontId="3" fillId="3" borderId="1" xfId="0" applyNumberFormat="1" applyFont="1" applyFill="1" applyBorder="1"/>
    <xf numFmtId="165" fontId="3" fillId="3" borderId="1" xfId="1" applyNumberFormat="1" applyFont="1" applyFill="1" applyBorder="1"/>
    <xf numFmtId="170" fontId="3" fillId="4" borderId="1" xfId="3" applyNumberFormat="1" applyFont="1" applyFill="1" applyBorder="1" applyAlignment="1">
      <alignment horizontal="center"/>
    </xf>
    <xf numFmtId="10" fontId="3" fillId="4" borderId="1" xfId="3" applyNumberFormat="1" applyFont="1" applyFill="1" applyBorder="1" applyAlignment="1">
      <alignment horizontal="center"/>
    </xf>
    <xf numFmtId="4" fontId="3" fillId="4" borderId="1" xfId="0" applyNumberFormat="1" applyFont="1" applyFill="1" applyBorder="1"/>
    <xf numFmtId="171" fontId="3" fillId="4" borderId="1" xfId="2" applyNumberFormat="1" applyFont="1" applyFill="1" applyBorder="1" applyAlignment="1">
      <alignment horizontal="center"/>
    </xf>
    <xf numFmtId="173" fontId="3" fillId="0" borderId="1" xfId="0" applyNumberFormat="1" applyFont="1" applyBorder="1"/>
    <xf numFmtId="10" fontId="3" fillId="0" borderId="1" xfId="3" applyNumberFormat="1" applyFont="1" applyFill="1" applyBorder="1" applyAlignment="1">
      <alignment horizontal="center"/>
    </xf>
    <xf numFmtId="168" fontId="3" fillId="0" borderId="1" xfId="3" applyNumberFormat="1" applyFont="1" applyFill="1" applyBorder="1" applyAlignment="1">
      <alignment horizontal="center"/>
    </xf>
    <xf numFmtId="173" fontId="3" fillId="0" borderId="1" xfId="0" applyNumberFormat="1" applyFont="1" applyBorder="1" applyAlignment="1">
      <alignment horizontal="center"/>
    </xf>
    <xf numFmtId="0" fontId="4" fillId="5" borderId="1" xfId="4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7" fillId="4" borderId="1" xfId="4" applyFont="1" applyFill="1" applyBorder="1" applyAlignment="1">
      <alignment horizontal="center"/>
    </xf>
    <xf numFmtId="174" fontId="3" fillId="0" borderId="1" xfId="1" applyNumberFormat="1" applyFont="1" applyFill="1" applyBorder="1"/>
    <xf numFmtId="175" fontId="3" fillId="3" borderId="1" xfId="3" applyNumberFormat="1" applyFont="1" applyFill="1" applyBorder="1"/>
    <xf numFmtId="165" fontId="3" fillId="3" borderId="2" xfId="1" applyNumberFormat="1" applyFont="1" applyFill="1" applyBorder="1"/>
    <xf numFmtId="14" fontId="3" fillId="0" borderId="1" xfId="3" applyNumberFormat="1" applyFont="1" applyFill="1" applyBorder="1" applyAlignment="1">
      <alignment horizontal="center"/>
    </xf>
    <xf numFmtId="0" fontId="4" fillId="2" borderId="1" xfId="4" applyFont="1" applyFill="1" applyBorder="1" applyAlignment="1">
      <alignment horizontal="left"/>
    </xf>
    <xf numFmtId="0" fontId="2" fillId="6" borderId="3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8" fillId="6" borderId="1" xfId="4" applyFont="1" applyFill="1" applyBorder="1" applyAlignment="1">
      <alignment horizontal="center"/>
    </xf>
    <xf numFmtId="0" fontId="4" fillId="2" borderId="2" xfId="4" applyFont="1" applyFill="1" applyBorder="1" applyAlignment="1">
      <alignment horizontal="left"/>
    </xf>
    <xf numFmtId="0" fontId="5" fillId="6" borderId="1" xfId="0" applyFont="1" applyFill="1" applyBorder="1" applyAlignment="1">
      <alignment horizontal="center" vertical="center" textRotation="90"/>
    </xf>
  </cellXfs>
  <cellStyles count="5">
    <cellStyle name="Comma" xfId="1" builtinId="3"/>
    <cellStyle name="Currency" xfId="2" builtinId="4"/>
    <cellStyle name="Normal" xfId="0" builtinId="0"/>
    <cellStyle name="Normal 2" xfId="4" xr:uid="{00000000-0005-0000-0000-000003000000}"/>
    <cellStyle name="Percent" xfId="3" builtinId="5"/>
  </cellStyles>
  <dxfs count="32"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color rgb="FFFFCC99"/>
      </font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color rgb="FFFFCC99"/>
      </font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colors>
    <mruColors>
      <color rgb="FFFFCC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16566</xdr:colOff>
      <xdr:row>5</xdr:row>
      <xdr:rowOff>82827</xdr:rowOff>
    </xdr:from>
    <xdr:to>
      <xdr:col>17</xdr:col>
      <xdr:colOff>212032</xdr:colOff>
      <xdr:row>9</xdr:row>
      <xdr:rowOff>29742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9F525B-1F90-4A99-B807-B8F43F671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6392" y="1010479"/>
          <a:ext cx="3342857" cy="6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57"/>
  <sheetViews>
    <sheetView zoomScale="115" zoomScaleNormal="115" workbookViewId="0">
      <selection sqref="A1:R1"/>
    </sheetView>
  </sheetViews>
  <sheetFormatPr defaultColWidth="11.42578125" defaultRowHeight="12.75" x14ac:dyDescent="0.2"/>
  <cols>
    <col min="1" max="1" width="3.28515625" bestFit="1" customWidth="1"/>
    <col min="2" max="2" width="10.42578125" bestFit="1" customWidth="1"/>
    <col min="3" max="3" width="7.42578125" bestFit="1" customWidth="1"/>
    <col min="4" max="4" width="8.85546875" bestFit="1" customWidth="1"/>
    <col min="5" max="5" width="10.42578125" bestFit="1" customWidth="1"/>
    <col min="6" max="7" width="8.85546875" bestFit="1" customWidth="1"/>
    <col min="8" max="8" width="7.7109375" bestFit="1" customWidth="1"/>
    <col min="9" max="10" width="8" bestFit="1" customWidth="1"/>
    <col min="11" max="11" width="7" bestFit="1" customWidth="1"/>
    <col min="12" max="12" width="9.85546875" bestFit="1" customWidth="1"/>
    <col min="13" max="14" width="10.42578125" bestFit="1" customWidth="1"/>
    <col min="15" max="15" width="9.42578125" bestFit="1" customWidth="1"/>
    <col min="16" max="16" width="8.140625" bestFit="1" customWidth="1"/>
    <col min="17" max="17" width="8.7109375" bestFit="1" customWidth="1"/>
    <col min="18" max="18" width="11.7109375" bestFit="1" customWidth="1"/>
  </cols>
  <sheetData>
    <row r="1" spans="1:18" ht="21" x14ac:dyDescent="0.45">
      <c r="A1" s="31" t="s">
        <v>30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</row>
    <row r="3" spans="1:18" ht="12.75" customHeight="1" x14ac:dyDescent="0.2">
      <c r="A3" s="36" t="s">
        <v>43</v>
      </c>
      <c r="B3" s="34" t="s">
        <v>38</v>
      </c>
      <c r="C3" s="34"/>
      <c r="D3" s="34"/>
      <c r="E3" s="34"/>
      <c r="H3" s="36" t="s">
        <v>44</v>
      </c>
      <c r="I3" s="34" t="s">
        <v>57</v>
      </c>
      <c r="J3" s="34"/>
      <c r="K3" s="34"/>
      <c r="L3" s="34"/>
    </row>
    <row r="4" spans="1:18" x14ac:dyDescent="0.2">
      <c r="A4" s="36"/>
      <c r="B4" s="30" t="s">
        <v>17</v>
      </c>
      <c r="C4" s="30"/>
      <c r="D4" s="30"/>
      <c r="E4" s="2">
        <v>1000</v>
      </c>
      <c r="H4" s="36"/>
      <c r="I4" s="30" t="s">
        <v>55</v>
      </c>
      <c r="J4" s="30"/>
      <c r="K4" s="30"/>
      <c r="L4" s="9">
        <f>IF(E7="Mensual",30,IF(E7="Bimestral",60,IF(E7="Trimestral",90,IF(E7="Cuatrimestral",120,IF(E7="Semestral",180,360)))))</f>
        <v>180</v>
      </c>
    </row>
    <row r="5" spans="1:18" x14ac:dyDescent="0.2">
      <c r="A5" s="36"/>
      <c r="B5" s="30" t="s">
        <v>18</v>
      </c>
      <c r="C5" s="30"/>
      <c r="D5" s="30"/>
      <c r="E5" s="2">
        <v>1050</v>
      </c>
      <c r="H5" s="36"/>
      <c r="I5" s="30" t="s">
        <v>56</v>
      </c>
      <c r="J5" s="30"/>
      <c r="K5" s="30"/>
      <c r="L5" s="9">
        <f>IF(E10="Diaria",1,IF(E10="Quincenal",15,IF(E10="Mensual",30,IF(E10="Bimestral",60,IF(E10="Trimestral",90,IF(E10="Cuatrimestral",120,IF(E10="Semestral",180,360)))))))</f>
        <v>1</v>
      </c>
    </row>
    <row r="6" spans="1:18" x14ac:dyDescent="0.2">
      <c r="A6" s="36"/>
      <c r="B6" s="30" t="s">
        <v>0</v>
      </c>
      <c r="C6" s="30"/>
      <c r="D6" s="30"/>
      <c r="E6" s="4">
        <v>5</v>
      </c>
      <c r="H6" s="36"/>
      <c r="I6" s="30" t="s">
        <v>59</v>
      </c>
      <c r="J6" s="30"/>
      <c r="K6" s="30"/>
      <c r="L6" s="9">
        <f>E8/L4</f>
        <v>2</v>
      </c>
    </row>
    <row r="7" spans="1:18" x14ac:dyDescent="0.2">
      <c r="A7" s="36"/>
      <c r="B7" s="30" t="s">
        <v>55</v>
      </c>
      <c r="C7" s="30"/>
      <c r="D7" s="30"/>
      <c r="E7" s="1" t="s">
        <v>54</v>
      </c>
      <c r="H7" s="36"/>
      <c r="I7" s="30" t="s">
        <v>60</v>
      </c>
      <c r="J7" s="30"/>
      <c r="K7" s="30"/>
      <c r="L7" s="9">
        <f>L6*E6</f>
        <v>10</v>
      </c>
    </row>
    <row r="8" spans="1:18" x14ac:dyDescent="0.2">
      <c r="A8" s="36"/>
      <c r="B8" s="30" t="s">
        <v>1</v>
      </c>
      <c r="C8" s="30"/>
      <c r="D8" s="30"/>
      <c r="E8" s="5">
        <v>360</v>
      </c>
      <c r="H8" s="36"/>
      <c r="I8" s="30" t="s">
        <v>48</v>
      </c>
      <c r="J8" s="30"/>
      <c r="K8" s="30"/>
      <c r="L8" s="27">
        <f>IF(E9="Efectiva",E11,(1+E11/(E8/L5))^(E8/L5)-1)</f>
        <v>0.08</v>
      </c>
    </row>
    <row r="9" spans="1:18" x14ac:dyDescent="0.2">
      <c r="A9" s="36"/>
      <c r="B9" s="30" t="s">
        <v>53</v>
      </c>
      <c r="C9" s="30"/>
      <c r="D9" s="30"/>
      <c r="E9" s="1" t="s">
        <v>58</v>
      </c>
      <c r="H9" s="36"/>
      <c r="I9" s="30" t="str">
        <f>"Tasa efectiva "&amp;E7</f>
        <v>Tasa efectiva Semestral</v>
      </c>
      <c r="J9" s="30"/>
      <c r="K9" s="30"/>
      <c r="L9" s="10">
        <f>(1+L8)^(L4/E8)-1</f>
        <v>3.9230484541326494E-2</v>
      </c>
    </row>
    <row r="10" spans="1:18" x14ac:dyDescent="0.2">
      <c r="A10" s="36"/>
      <c r="B10" s="30" t="s">
        <v>52</v>
      </c>
      <c r="C10" s="30"/>
      <c r="D10" s="30"/>
      <c r="E10" s="1" t="s">
        <v>63</v>
      </c>
      <c r="H10" s="36"/>
      <c r="I10" s="30" t="str">
        <f>"COK "&amp;E7</f>
        <v>COK Semestral</v>
      </c>
      <c r="J10" s="30"/>
      <c r="K10" s="30"/>
      <c r="L10" s="10">
        <f>(1+E12)^(L4/E8)-1</f>
        <v>2.2252415013043647E-2</v>
      </c>
    </row>
    <row r="11" spans="1:18" x14ac:dyDescent="0.2">
      <c r="A11" s="36"/>
      <c r="B11" s="30" t="s">
        <v>51</v>
      </c>
      <c r="C11" s="30"/>
      <c r="D11" s="30"/>
      <c r="E11" s="8">
        <v>0.08</v>
      </c>
      <c r="H11" s="36"/>
      <c r="I11" s="30" t="s">
        <v>47</v>
      </c>
      <c r="J11" s="30"/>
      <c r="K11" s="30"/>
      <c r="L11" s="14">
        <f>SUM($E$17:$E$20)*E5</f>
        <v>23.1</v>
      </c>
    </row>
    <row r="12" spans="1:18" x14ac:dyDescent="0.2">
      <c r="A12" s="36"/>
      <c r="B12" s="30" t="s">
        <v>49</v>
      </c>
      <c r="C12" s="30"/>
      <c r="D12" s="30"/>
      <c r="E12" s="7">
        <v>4.4999999999999998E-2</v>
      </c>
      <c r="H12" s="36"/>
      <c r="I12" s="30" t="s">
        <v>50</v>
      </c>
      <c r="J12" s="30"/>
      <c r="K12" s="30"/>
      <c r="L12" s="14">
        <f>SUM($E$19:$E$20)*E5</f>
        <v>9.9749999999999996</v>
      </c>
    </row>
    <row r="13" spans="1:18" x14ac:dyDescent="0.2">
      <c r="A13" s="36"/>
      <c r="B13" s="30" t="s">
        <v>2</v>
      </c>
      <c r="C13" s="30"/>
      <c r="D13" s="30"/>
      <c r="E13" s="6">
        <v>0.3</v>
      </c>
      <c r="H13" s="36"/>
      <c r="I13" s="34" t="s">
        <v>39</v>
      </c>
      <c r="J13" s="34"/>
      <c r="K13" s="34"/>
      <c r="L13" s="34"/>
    </row>
    <row r="14" spans="1:18" x14ac:dyDescent="0.2">
      <c r="A14" s="36"/>
      <c r="B14" s="30" t="s">
        <v>45</v>
      </c>
      <c r="C14" s="30"/>
      <c r="D14" s="30"/>
      <c r="E14" s="26">
        <v>41852</v>
      </c>
      <c r="H14" s="36"/>
      <c r="I14" s="30" t="s">
        <v>41</v>
      </c>
      <c r="J14" s="30"/>
      <c r="K14" s="30"/>
      <c r="L14" s="13">
        <f>NPV(L10,O28:O57)</f>
        <v>1098.3684048821367</v>
      </c>
    </row>
    <row r="15" spans="1:18" x14ac:dyDescent="0.2">
      <c r="A15" s="36"/>
      <c r="B15" s="34" t="s">
        <v>37</v>
      </c>
      <c r="C15" s="34"/>
      <c r="D15" s="34"/>
      <c r="E15" s="34"/>
      <c r="H15" s="36"/>
      <c r="I15" s="30" t="s">
        <v>42</v>
      </c>
      <c r="J15" s="30"/>
      <c r="K15" s="30"/>
      <c r="L15" s="13">
        <f>O27+NPV(L10,O28:O57)</f>
        <v>38.393404882136792</v>
      </c>
    </row>
    <row r="16" spans="1:18" x14ac:dyDescent="0.2">
      <c r="A16" s="36"/>
      <c r="B16" s="30" t="s">
        <v>3</v>
      </c>
      <c r="C16" s="30"/>
      <c r="D16" s="30"/>
      <c r="E16" s="7">
        <v>0.01</v>
      </c>
      <c r="F16" s="3"/>
      <c r="H16" s="36"/>
      <c r="I16" s="34" t="s">
        <v>40</v>
      </c>
      <c r="J16" s="34"/>
      <c r="K16" s="34"/>
      <c r="L16" s="34"/>
    </row>
    <row r="17" spans="1:18" x14ac:dyDescent="0.2">
      <c r="A17" s="36"/>
      <c r="B17" s="30" t="s">
        <v>14</v>
      </c>
      <c r="C17" s="30"/>
      <c r="D17" s="30"/>
      <c r="E17" s="7">
        <v>0.01</v>
      </c>
      <c r="F17" s="1" t="s">
        <v>35</v>
      </c>
      <c r="H17" s="36"/>
      <c r="I17" s="30" t="s">
        <v>19</v>
      </c>
      <c r="J17" s="30"/>
      <c r="K17" s="30"/>
      <c r="L17" s="14">
        <f>SUM(Q27:Q61)/SUM(P27:P61)</f>
        <v>2.6763899841491487</v>
      </c>
    </row>
    <row r="18" spans="1:18" x14ac:dyDescent="0.2">
      <c r="A18" s="36"/>
      <c r="B18" s="30" t="s">
        <v>4</v>
      </c>
      <c r="C18" s="30"/>
      <c r="D18" s="30"/>
      <c r="E18" s="7">
        <v>2.5000000000000001E-3</v>
      </c>
      <c r="F18" s="1" t="s">
        <v>35</v>
      </c>
      <c r="H18" s="36"/>
      <c r="I18" s="30" t="s">
        <v>20</v>
      </c>
      <c r="J18" s="30"/>
      <c r="K18" s="30"/>
      <c r="L18" s="14">
        <f>SUM(R28:R57)/(POWER(1+L10,2)*SUM(P28:P57)*POWER(E8/L4,2))</f>
        <v>10.127681559106509</v>
      </c>
    </row>
    <row r="19" spans="1:18" x14ac:dyDescent="0.2">
      <c r="A19" s="36"/>
      <c r="B19" s="30" t="s">
        <v>5</v>
      </c>
      <c r="C19" s="30"/>
      <c r="D19" s="30"/>
      <c r="E19" s="7">
        <v>4.4999999999999997E-3</v>
      </c>
      <c r="F19" s="1" t="s">
        <v>34</v>
      </c>
      <c r="H19" s="36"/>
      <c r="I19" s="30" t="s">
        <v>21</v>
      </c>
      <c r="J19" s="30"/>
      <c r="K19" s="30"/>
      <c r="L19" s="14">
        <f>L18+L17</f>
        <v>12.804071543255658</v>
      </c>
    </row>
    <row r="20" spans="1:18" x14ac:dyDescent="0.2">
      <c r="A20" s="36"/>
      <c r="B20" s="30" t="s">
        <v>15</v>
      </c>
      <c r="C20" s="30"/>
      <c r="D20" s="30"/>
      <c r="E20" s="8">
        <v>5.0000000000000001E-3</v>
      </c>
      <c r="F20" s="1" t="s">
        <v>34</v>
      </c>
      <c r="H20" s="36"/>
      <c r="I20" s="35" t="s">
        <v>22</v>
      </c>
      <c r="J20" s="35"/>
      <c r="K20" s="35"/>
      <c r="L20" s="28">
        <f>L17/(1+L10)</f>
        <v>2.6181302629791281</v>
      </c>
    </row>
    <row r="21" spans="1:18" x14ac:dyDescent="0.2">
      <c r="D21" s="3"/>
      <c r="H21" s="36"/>
      <c r="I21" s="34" t="s">
        <v>61</v>
      </c>
      <c r="J21" s="34"/>
      <c r="K21" s="34"/>
      <c r="L21" s="34"/>
      <c r="M21" s="34"/>
    </row>
    <row r="22" spans="1:18" x14ac:dyDescent="0.2">
      <c r="D22" s="3"/>
      <c r="H22" s="36"/>
      <c r="I22" s="30" t="s">
        <v>26</v>
      </c>
      <c r="J22" s="30"/>
      <c r="K22" s="30"/>
      <c r="L22" s="11">
        <f>POWER(IRR(M27:M57)+1,$E$8/$L$4)-1</f>
        <v>7.1871504631805472E-2</v>
      </c>
      <c r="M22" s="11">
        <f>XIRR(M27:M57,B27:B57)</f>
        <v>7.2905257344245897E-2</v>
      </c>
    </row>
    <row r="23" spans="1:18" x14ac:dyDescent="0.2">
      <c r="D23" s="3"/>
      <c r="H23" s="36"/>
      <c r="I23" s="30" t="s">
        <v>27</v>
      </c>
      <c r="J23" s="30"/>
      <c r="K23" s="30"/>
      <c r="L23" s="12">
        <f>POWER(IRR(N27:N57)+1,$E$8/$L$4)-1</f>
        <v>4.8305711618091829E-2</v>
      </c>
      <c r="M23" s="12">
        <f>XIRR(N27:N57,B27:B57)</f>
        <v>4.899279773235321E-2</v>
      </c>
    </row>
    <row r="24" spans="1:18" x14ac:dyDescent="0.2">
      <c r="D24" s="3"/>
      <c r="H24" s="36"/>
      <c r="I24" s="30" t="s">
        <v>28</v>
      </c>
      <c r="J24" s="30"/>
      <c r="K24" s="30"/>
      <c r="L24" s="12">
        <f>POWER(IRR(O27:O57)+1,$E$8/$L$4)-1</f>
        <v>5.9058735383838323E-2</v>
      </c>
      <c r="M24" s="12">
        <f>XIRR(O27:O57,B27:B57)</f>
        <v>5.9903088212013234E-2</v>
      </c>
    </row>
    <row r="25" spans="1:18" x14ac:dyDescent="0.2">
      <c r="A25" s="3"/>
      <c r="B25" s="3"/>
      <c r="C25" s="3"/>
      <c r="D25" s="3"/>
      <c r="E25" s="3"/>
      <c r="F25" s="3"/>
      <c r="G25" s="3"/>
      <c r="H25" s="3"/>
      <c r="I25" s="3"/>
      <c r="L25" s="3"/>
    </row>
    <row r="26" spans="1:18" ht="38.25" x14ac:dyDescent="0.2">
      <c r="A26" s="23" t="s">
        <v>6</v>
      </c>
      <c r="B26" s="23" t="s">
        <v>36</v>
      </c>
      <c r="C26" s="24" t="s">
        <v>46</v>
      </c>
      <c r="D26" s="23" t="str">
        <f>"Inflación "&amp;E7</f>
        <v>Inflación Semestral</v>
      </c>
      <c r="E26" s="24" t="s">
        <v>31</v>
      </c>
      <c r="F26" s="23" t="s">
        <v>7</v>
      </c>
      <c r="G26" s="23" t="s">
        <v>8</v>
      </c>
      <c r="H26" s="23" t="s">
        <v>9</v>
      </c>
      <c r="I26" s="23" t="s">
        <v>33</v>
      </c>
      <c r="J26" s="23" t="s">
        <v>29</v>
      </c>
      <c r="K26" s="23" t="s">
        <v>10</v>
      </c>
      <c r="L26" s="23" t="s">
        <v>11</v>
      </c>
      <c r="M26" s="23" t="s">
        <v>12</v>
      </c>
      <c r="N26" s="23" t="s">
        <v>13</v>
      </c>
      <c r="O26" s="23" t="s">
        <v>16</v>
      </c>
      <c r="P26" s="23" t="s">
        <v>25</v>
      </c>
      <c r="Q26" s="23" t="s">
        <v>23</v>
      </c>
      <c r="R26" s="23" t="s">
        <v>24</v>
      </c>
    </row>
    <row r="27" spans="1:18" x14ac:dyDescent="0.2">
      <c r="A27" s="25">
        <v>0</v>
      </c>
      <c r="B27" s="29">
        <v>41944</v>
      </c>
      <c r="C27" s="15"/>
      <c r="D27" s="16"/>
      <c r="E27" s="17"/>
      <c r="F27" s="17"/>
      <c r="G27" s="17"/>
      <c r="H27" s="18"/>
      <c r="I27" s="18"/>
      <c r="J27" s="18"/>
      <c r="K27" s="18"/>
      <c r="L27" s="18"/>
      <c r="M27" s="19">
        <f>$E$5-$L$11</f>
        <v>1026.9000000000001</v>
      </c>
      <c r="N27" s="19">
        <f>M27</f>
        <v>1026.9000000000001</v>
      </c>
      <c r="O27" s="19">
        <f>-$E$5-$L$12</f>
        <v>-1059.9749999999999</v>
      </c>
      <c r="P27" s="18"/>
      <c r="Q27" s="18"/>
      <c r="R27" s="18"/>
    </row>
    <row r="28" spans="1:18" x14ac:dyDescent="0.2">
      <c r="A28" s="25">
        <v>1</v>
      </c>
      <c r="B28" s="29">
        <f t="shared" ref="B28:B57" si="0">B27+$L$4</f>
        <v>42124</v>
      </c>
      <c r="C28" s="20">
        <v>0</v>
      </c>
      <c r="D28" s="21">
        <f t="shared" ref="D28:D57" si="1">IF(A28&lt;=$L$7,POWER(1+C28,$L$4/$E$8)-1,0)</f>
        <v>0</v>
      </c>
      <c r="E28" s="22" t="s">
        <v>32</v>
      </c>
      <c r="F28" s="19">
        <f t="shared" ref="F28:F57" si="2">IF(A28=1,$E$4,IF(A28&lt;=$L$7,IF(E27="T",G27-H27,G27+J27),0))</f>
        <v>1000</v>
      </c>
      <c r="G28" s="19">
        <f t="shared" ref="G28:G57" si="3">F28*(1+D28)</f>
        <v>1000</v>
      </c>
      <c r="H28" s="19">
        <f t="shared" ref="H28:H57" si="4">-G28*$L$9</f>
        <v>-39.23048454132649</v>
      </c>
      <c r="I28" s="19">
        <f t="shared" ref="I28:I57" si="5">IF(A28&lt;=L$7,IF(E28="T",0,IF(E28="P",H28,PMT(L$9,L$7-A28+1,G28,0,0))),0)</f>
        <v>-122.81910086449628</v>
      </c>
      <c r="J28" s="19">
        <f t="shared" ref="J28:J57" si="6">IF(A28&lt;=L$7,IF(OR(E28="T",E28="P"),0,I28-H28),0)</f>
        <v>-83.588616323169788</v>
      </c>
      <c r="K28" s="19">
        <f t="shared" ref="K28:K57" si="7">-IF(A28=L$7,E$16*$E$4,0)</f>
        <v>0</v>
      </c>
      <c r="L28" s="19">
        <f t="shared" ref="L28:L57" si="8">-H28*E$13</f>
        <v>11.769145362397946</v>
      </c>
      <c r="M28" s="19">
        <f t="shared" ref="M28:M57" si="9">IF(A28&lt;=L$7,I28+K28,0)</f>
        <v>-122.81910086449628</v>
      </c>
      <c r="N28" s="19">
        <f>M28+L28</f>
        <v>-111.04995550209833</v>
      </c>
      <c r="O28" s="19">
        <f>-M28</f>
        <v>122.81910086449628</v>
      </c>
      <c r="P28" s="19">
        <f t="shared" ref="P28:P57" si="10">O28/POWER(1+L$10,A28)</f>
        <v>120.14557174015494</v>
      </c>
      <c r="Q28" s="19">
        <f t="shared" ref="Q28:Q57" si="11">P28*A28*L$4/E$8</f>
        <v>60.072785870077468</v>
      </c>
      <c r="R28" s="19">
        <f t="shared" ref="R28:R57" si="12">P28*A28*(1+A28)</f>
        <v>240.29114348030987</v>
      </c>
    </row>
    <row r="29" spans="1:18" x14ac:dyDescent="0.2">
      <c r="A29" s="25">
        <v>2</v>
      </c>
      <c r="B29" s="29">
        <f t="shared" si="0"/>
        <v>42304</v>
      </c>
      <c r="C29" s="20">
        <v>0</v>
      </c>
      <c r="D29" s="21">
        <f t="shared" si="1"/>
        <v>0</v>
      </c>
      <c r="E29" s="22" t="s">
        <v>32</v>
      </c>
      <c r="F29" s="19">
        <f t="shared" si="2"/>
        <v>916.41138367683016</v>
      </c>
      <c r="G29" s="19">
        <f t="shared" si="3"/>
        <v>916.41138367683016</v>
      </c>
      <c r="H29" s="19">
        <f t="shared" si="4"/>
        <v>-35.95126262082951</v>
      </c>
      <c r="I29" s="19">
        <f t="shared" si="5"/>
        <v>-122.81910086449626</v>
      </c>
      <c r="J29" s="19">
        <f t="shared" si="6"/>
        <v>-86.867838243666753</v>
      </c>
      <c r="K29" s="19">
        <f t="shared" si="7"/>
        <v>0</v>
      </c>
      <c r="L29" s="19">
        <f t="shared" si="8"/>
        <v>10.785378786248852</v>
      </c>
      <c r="M29" s="19">
        <f t="shared" si="9"/>
        <v>-122.81910086449626</v>
      </c>
      <c r="N29" s="19">
        <f>M29+L29</f>
        <v>-112.03372207824741</v>
      </c>
      <c r="O29" s="19">
        <f t="shared" ref="O29:O57" si="13">-M29</f>
        <v>122.81910086449626</v>
      </c>
      <c r="P29" s="19">
        <f t="shared" si="10"/>
        <v>117.53024006171891</v>
      </c>
      <c r="Q29" s="19">
        <f t="shared" si="11"/>
        <v>117.5302400617189</v>
      </c>
      <c r="R29" s="19">
        <f t="shared" si="12"/>
        <v>705.18144037031345</v>
      </c>
    </row>
    <row r="30" spans="1:18" x14ac:dyDescent="0.2">
      <c r="A30" s="25">
        <v>3</v>
      </c>
      <c r="B30" s="29">
        <f t="shared" si="0"/>
        <v>42484</v>
      </c>
      <c r="C30" s="20">
        <v>0</v>
      </c>
      <c r="D30" s="21">
        <f t="shared" si="1"/>
        <v>0</v>
      </c>
      <c r="E30" s="22" t="s">
        <v>32</v>
      </c>
      <c r="F30" s="19">
        <f t="shared" si="2"/>
        <v>829.54354543316344</v>
      </c>
      <c r="G30" s="19">
        <f t="shared" si="3"/>
        <v>829.54354543316344</v>
      </c>
      <c r="H30" s="19">
        <f t="shared" si="4"/>
        <v>-32.543395235472893</v>
      </c>
      <c r="I30" s="19">
        <f t="shared" si="5"/>
        <v>-122.81910086449626</v>
      </c>
      <c r="J30" s="19">
        <f t="shared" si="6"/>
        <v>-90.275705629023378</v>
      </c>
      <c r="K30" s="19">
        <f t="shared" si="7"/>
        <v>0</v>
      </c>
      <c r="L30" s="19">
        <f t="shared" si="8"/>
        <v>9.7630185706418668</v>
      </c>
      <c r="M30" s="19">
        <f t="shared" si="9"/>
        <v>-122.81910086449626</v>
      </c>
      <c r="N30" s="19">
        <f>M30+L30</f>
        <v>-113.0560822938544</v>
      </c>
      <c r="O30" s="19">
        <f t="shared" si="13"/>
        <v>122.81910086449626</v>
      </c>
      <c r="P30" s="19">
        <f t="shared" si="10"/>
        <v>114.97183898579419</v>
      </c>
      <c r="Q30" s="19">
        <f t="shared" si="11"/>
        <v>172.45775847869129</v>
      </c>
      <c r="R30" s="19">
        <f t="shared" si="12"/>
        <v>1379.6620678295303</v>
      </c>
    </row>
    <row r="31" spans="1:18" x14ac:dyDescent="0.2">
      <c r="A31" s="25">
        <v>4</v>
      </c>
      <c r="B31" s="29">
        <f t="shared" si="0"/>
        <v>42664</v>
      </c>
      <c r="C31" s="20">
        <v>0</v>
      </c>
      <c r="D31" s="21">
        <f t="shared" si="1"/>
        <v>0</v>
      </c>
      <c r="E31" s="22" t="s">
        <v>32</v>
      </c>
      <c r="F31" s="19">
        <f t="shared" si="2"/>
        <v>739.26783980414007</v>
      </c>
      <c r="G31" s="19">
        <f t="shared" si="3"/>
        <v>739.26783980414007</v>
      </c>
      <c r="H31" s="19">
        <f t="shared" si="4"/>
        <v>-29.001835561336147</v>
      </c>
      <c r="I31" s="19">
        <f t="shared" si="5"/>
        <v>-122.81910086449626</v>
      </c>
      <c r="J31" s="19">
        <f t="shared" si="6"/>
        <v>-93.817265303160113</v>
      </c>
      <c r="K31" s="19">
        <f t="shared" si="7"/>
        <v>0</v>
      </c>
      <c r="L31" s="19">
        <f t="shared" si="8"/>
        <v>8.7005506684008438</v>
      </c>
      <c r="M31" s="19">
        <f t="shared" si="9"/>
        <v>-122.81910086449626</v>
      </c>
      <c r="N31" s="19">
        <f>M31+L31</f>
        <v>-114.11855019609541</v>
      </c>
      <c r="O31" s="19">
        <f t="shared" si="13"/>
        <v>122.81910086449626</v>
      </c>
      <c r="P31" s="19">
        <f t="shared" si="10"/>
        <v>112.46912924566405</v>
      </c>
      <c r="Q31" s="19">
        <f t="shared" si="11"/>
        <v>224.9382584913281</v>
      </c>
      <c r="R31" s="19">
        <f t="shared" si="12"/>
        <v>2249.3825849132809</v>
      </c>
    </row>
    <row r="32" spans="1:18" x14ac:dyDescent="0.2">
      <c r="A32" s="25">
        <v>5</v>
      </c>
      <c r="B32" s="29">
        <f t="shared" si="0"/>
        <v>42844</v>
      </c>
      <c r="C32" s="20">
        <v>0</v>
      </c>
      <c r="D32" s="21">
        <f t="shared" si="1"/>
        <v>0</v>
      </c>
      <c r="E32" s="22" t="s">
        <v>32</v>
      </c>
      <c r="F32" s="19">
        <f t="shared" si="2"/>
        <v>645.45057450098</v>
      </c>
      <c r="G32" s="19">
        <f t="shared" si="3"/>
        <v>645.45057450098</v>
      </c>
      <c r="H32" s="19">
        <f t="shared" si="4"/>
        <v>-25.321338785150999</v>
      </c>
      <c r="I32" s="19">
        <f t="shared" si="5"/>
        <v>-122.81910086449628</v>
      </c>
      <c r="J32" s="19">
        <f t="shared" si="6"/>
        <v>-97.497762079345279</v>
      </c>
      <c r="K32" s="19">
        <f t="shared" si="7"/>
        <v>0</v>
      </c>
      <c r="L32" s="19">
        <f t="shared" si="8"/>
        <v>7.5964016355452992</v>
      </c>
      <c r="M32" s="19">
        <f t="shared" si="9"/>
        <v>-122.81910086449628</v>
      </c>
      <c r="N32" s="19">
        <f t="shared" ref="N32:N57" si="14">M32+L32</f>
        <v>-115.22269922895097</v>
      </c>
      <c r="O32" s="19">
        <f t="shared" si="13"/>
        <v>122.81910086449628</v>
      </c>
      <c r="P32" s="19">
        <f t="shared" si="10"/>
        <v>110.02089855099926</v>
      </c>
      <c r="Q32" s="19">
        <f t="shared" si="11"/>
        <v>275.05224637749814</v>
      </c>
      <c r="R32" s="19">
        <f t="shared" si="12"/>
        <v>3300.6269565299776</v>
      </c>
    </row>
    <row r="33" spans="1:18" x14ac:dyDescent="0.2">
      <c r="A33" s="25">
        <v>6</v>
      </c>
      <c r="B33" s="29">
        <f t="shared" si="0"/>
        <v>43024</v>
      </c>
      <c r="C33" s="20">
        <v>0</v>
      </c>
      <c r="D33" s="21">
        <f t="shared" si="1"/>
        <v>0</v>
      </c>
      <c r="E33" s="22" t="s">
        <v>32</v>
      </c>
      <c r="F33" s="19">
        <f t="shared" si="2"/>
        <v>547.95281242163469</v>
      </c>
      <c r="G33" s="19">
        <f t="shared" si="3"/>
        <v>547.95281242163469</v>
      </c>
      <c r="H33" s="19">
        <f t="shared" si="4"/>
        <v>-21.496454337083314</v>
      </c>
      <c r="I33" s="19">
        <f t="shared" si="5"/>
        <v>-122.81910086449625</v>
      </c>
      <c r="J33" s="19">
        <f t="shared" si="6"/>
        <v>-101.32264652741293</v>
      </c>
      <c r="K33" s="19">
        <f t="shared" si="7"/>
        <v>0</v>
      </c>
      <c r="L33" s="19">
        <f t="shared" si="8"/>
        <v>6.4489363011249941</v>
      </c>
      <c r="M33" s="19">
        <f t="shared" si="9"/>
        <v>-122.81910086449625</v>
      </c>
      <c r="N33" s="19">
        <f t="shared" si="14"/>
        <v>-116.37016456337126</v>
      </c>
      <c r="O33" s="19">
        <f>-M33</f>
        <v>122.81910086449625</v>
      </c>
      <c r="P33" s="19">
        <f t="shared" si="10"/>
        <v>107.62596100063544</v>
      </c>
      <c r="Q33" s="19">
        <f t="shared" si="11"/>
        <v>322.8778830019063</v>
      </c>
      <c r="R33" s="19">
        <f t="shared" si="12"/>
        <v>4520.2903620266879</v>
      </c>
    </row>
    <row r="34" spans="1:18" x14ac:dyDescent="0.2">
      <c r="A34" s="25">
        <v>7</v>
      </c>
      <c r="B34" s="29">
        <f t="shared" si="0"/>
        <v>43204</v>
      </c>
      <c r="C34" s="20">
        <v>0</v>
      </c>
      <c r="D34" s="21">
        <f t="shared" si="1"/>
        <v>0</v>
      </c>
      <c r="E34" s="22" t="s">
        <v>32</v>
      </c>
      <c r="F34" s="19">
        <f t="shared" si="2"/>
        <v>446.63016589422176</v>
      </c>
      <c r="G34" s="19">
        <f t="shared" si="3"/>
        <v>446.63016589422176</v>
      </c>
      <c r="H34" s="19">
        <f t="shared" si="4"/>
        <v>-17.521517818803353</v>
      </c>
      <c r="I34" s="19">
        <f t="shared" si="5"/>
        <v>-122.81910086449626</v>
      </c>
      <c r="J34" s="19">
        <f t="shared" si="6"/>
        <v>-105.2975830456929</v>
      </c>
      <c r="K34" s="19">
        <f t="shared" si="7"/>
        <v>0</v>
      </c>
      <c r="L34" s="19">
        <f t="shared" si="8"/>
        <v>5.2564553456410055</v>
      </c>
      <c r="M34" s="19">
        <f t="shared" si="9"/>
        <v>-122.81910086449626</v>
      </c>
      <c r="N34" s="19">
        <f t="shared" si="14"/>
        <v>-117.56264551885526</v>
      </c>
      <c r="O34" s="19">
        <f t="shared" si="13"/>
        <v>122.81910086449626</v>
      </c>
      <c r="P34" s="19">
        <f t="shared" si="10"/>
        <v>105.28315650813326</v>
      </c>
      <c r="Q34" s="19">
        <f t="shared" si="11"/>
        <v>368.49104777846634</v>
      </c>
      <c r="R34" s="19">
        <f t="shared" si="12"/>
        <v>5895.8567644554623</v>
      </c>
    </row>
    <row r="35" spans="1:18" x14ac:dyDescent="0.2">
      <c r="A35" s="25">
        <v>8</v>
      </c>
      <c r="B35" s="29">
        <f t="shared" si="0"/>
        <v>43384</v>
      </c>
      <c r="C35" s="20">
        <v>0</v>
      </c>
      <c r="D35" s="21">
        <f t="shared" si="1"/>
        <v>0</v>
      </c>
      <c r="E35" s="22" t="s">
        <v>32</v>
      </c>
      <c r="F35" s="19">
        <f t="shared" si="2"/>
        <v>341.33258284852889</v>
      </c>
      <c r="G35" s="19">
        <f t="shared" si="3"/>
        <v>341.33258284852889</v>
      </c>
      <c r="H35" s="19">
        <f t="shared" si="4"/>
        <v>-13.390642614890258</v>
      </c>
      <c r="I35" s="19">
        <f t="shared" si="5"/>
        <v>-122.81910086449628</v>
      </c>
      <c r="J35" s="19">
        <f t="shared" si="6"/>
        <v>-109.42845824960602</v>
      </c>
      <c r="K35" s="19">
        <f t="shared" si="7"/>
        <v>0</v>
      </c>
      <c r="L35" s="19">
        <f t="shared" si="8"/>
        <v>4.0171927844670767</v>
      </c>
      <c r="M35" s="19">
        <f t="shared" si="9"/>
        <v>-122.81910086449628</v>
      </c>
      <c r="N35" s="19">
        <f t="shared" si="14"/>
        <v>-118.80190808002921</v>
      </c>
      <c r="O35" s="19">
        <f t="shared" si="13"/>
        <v>122.81910086449628</v>
      </c>
      <c r="P35" s="19">
        <f t="shared" si="10"/>
        <v>102.99135023984257</v>
      </c>
      <c r="Q35" s="19">
        <f t="shared" si="11"/>
        <v>411.9654009593703</v>
      </c>
      <c r="R35" s="19">
        <f t="shared" si="12"/>
        <v>7415.3772172686658</v>
      </c>
    </row>
    <row r="36" spans="1:18" x14ac:dyDescent="0.2">
      <c r="A36" s="25">
        <v>9</v>
      </c>
      <c r="B36" s="29">
        <f t="shared" si="0"/>
        <v>43564</v>
      </c>
      <c r="C36" s="20">
        <v>0</v>
      </c>
      <c r="D36" s="21">
        <f t="shared" si="1"/>
        <v>0</v>
      </c>
      <c r="E36" s="22" t="s">
        <v>32</v>
      </c>
      <c r="F36" s="19">
        <f t="shared" si="2"/>
        <v>231.90412459892286</v>
      </c>
      <c r="G36" s="19">
        <f t="shared" si="3"/>
        <v>231.90412459892286</v>
      </c>
      <c r="H36" s="19">
        <f t="shared" si="4"/>
        <v>-9.0977111751478965</v>
      </c>
      <c r="I36" s="19">
        <f t="shared" si="5"/>
        <v>-122.81910086449626</v>
      </c>
      <c r="J36" s="19">
        <f t="shared" si="6"/>
        <v>-113.72138968934837</v>
      </c>
      <c r="K36" s="19">
        <f t="shared" si="7"/>
        <v>0</v>
      </c>
      <c r="L36" s="19">
        <f t="shared" si="8"/>
        <v>2.7293133525443687</v>
      </c>
      <c r="M36" s="19">
        <f t="shared" si="9"/>
        <v>-122.81910086449626</v>
      </c>
      <c r="N36" s="19">
        <f t="shared" si="14"/>
        <v>-120.0897875119519</v>
      </c>
      <c r="O36" s="19">
        <f t="shared" si="13"/>
        <v>122.81910086449626</v>
      </c>
      <c r="P36" s="19">
        <f t="shared" si="10"/>
        <v>100.74943206519931</v>
      </c>
      <c r="Q36" s="19">
        <f t="shared" si="11"/>
        <v>453.37244429339688</v>
      </c>
      <c r="R36" s="19">
        <f t="shared" si="12"/>
        <v>9067.4488858679397</v>
      </c>
    </row>
    <row r="37" spans="1:18" x14ac:dyDescent="0.2">
      <c r="A37" s="25">
        <v>10</v>
      </c>
      <c r="B37" s="29">
        <f t="shared" si="0"/>
        <v>43744</v>
      </c>
      <c r="C37" s="20">
        <v>0</v>
      </c>
      <c r="D37" s="21">
        <f t="shared" si="1"/>
        <v>0</v>
      </c>
      <c r="E37" s="22" t="s">
        <v>32</v>
      </c>
      <c r="F37" s="19">
        <f t="shared" si="2"/>
        <v>118.18273490957449</v>
      </c>
      <c r="G37" s="19">
        <f t="shared" si="3"/>
        <v>118.18273490957449</v>
      </c>
      <c r="H37" s="19">
        <f t="shared" si="4"/>
        <v>-4.6363659549217493</v>
      </c>
      <c r="I37" s="19">
        <f t="shared" si="5"/>
        <v>-122.81910086449625</v>
      </c>
      <c r="J37" s="19">
        <f t="shared" si="6"/>
        <v>-118.18273490957451</v>
      </c>
      <c r="K37" s="19">
        <f t="shared" si="7"/>
        <v>-10</v>
      </c>
      <c r="L37" s="19">
        <f t="shared" si="8"/>
        <v>1.3909097864765247</v>
      </c>
      <c r="M37" s="19">
        <f t="shared" si="9"/>
        <v>-132.81910086449625</v>
      </c>
      <c r="N37" s="19">
        <f t="shared" si="14"/>
        <v>-131.42819107801972</v>
      </c>
      <c r="O37" s="19">
        <f t="shared" si="13"/>
        <v>132.81910086449625</v>
      </c>
      <c r="P37" s="19">
        <f t="shared" si="10"/>
        <v>106.58082648399493</v>
      </c>
      <c r="Q37" s="19">
        <f t="shared" si="11"/>
        <v>532.90413241997464</v>
      </c>
      <c r="R37" s="19">
        <f t="shared" si="12"/>
        <v>11723.890913239442</v>
      </c>
    </row>
    <row r="38" spans="1:18" x14ac:dyDescent="0.2">
      <c r="A38" s="25">
        <v>11</v>
      </c>
      <c r="B38" s="29">
        <f t="shared" si="0"/>
        <v>43924</v>
      </c>
      <c r="C38" s="20">
        <v>0</v>
      </c>
      <c r="D38" s="21">
        <f t="shared" si="1"/>
        <v>0</v>
      </c>
      <c r="E38" s="22" t="s">
        <v>32</v>
      </c>
      <c r="F38" s="19">
        <f t="shared" si="2"/>
        <v>0</v>
      </c>
      <c r="G38" s="19">
        <f t="shared" si="3"/>
        <v>0</v>
      </c>
      <c r="H38" s="19">
        <f t="shared" si="4"/>
        <v>0</v>
      </c>
      <c r="I38" s="19">
        <f t="shared" si="5"/>
        <v>0</v>
      </c>
      <c r="J38" s="19">
        <f t="shared" si="6"/>
        <v>0</v>
      </c>
      <c r="K38" s="19">
        <f t="shared" si="7"/>
        <v>0</v>
      </c>
      <c r="L38" s="19">
        <f t="shared" si="8"/>
        <v>0</v>
      </c>
      <c r="M38" s="19">
        <f t="shared" si="9"/>
        <v>0</v>
      </c>
      <c r="N38" s="19">
        <f t="shared" si="14"/>
        <v>0</v>
      </c>
      <c r="O38" s="19">
        <f t="shared" si="13"/>
        <v>0</v>
      </c>
      <c r="P38" s="19">
        <f t="shared" si="10"/>
        <v>0</v>
      </c>
      <c r="Q38" s="19">
        <f t="shared" si="11"/>
        <v>0</v>
      </c>
      <c r="R38" s="19">
        <f t="shared" si="12"/>
        <v>0</v>
      </c>
    </row>
    <row r="39" spans="1:18" x14ac:dyDescent="0.2">
      <c r="A39" s="25">
        <v>12</v>
      </c>
      <c r="B39" s="29">
        <f t="shared" si="0"/>
        <v>44104</v>
      </c>
      <c r="C39" s="20">
        <v>0</v>
      </c>
      <c r="D39" s="21">
        <f t="shared" si="1"/>
        <v>0</v>
      </c>
      <c r="E39" s="22" t="s">
        <v>32</v>
      </c>
      <c r="F39" s="19">
        <f t="shared" si="2"/>
        <v>0</v>
      </c>
      <c r="G39" s="19">
        <f t="shared" si="3"/>
        <v>0</v>
      </c>
      <c r="H39" s="19">
        <f t="shared" si="4"/>
        <v>0</v>
      </c>
      <c r="I39" s="19">
        <f t="shared" si="5"/>
        <v>0</v>
      </c>
      <c r="J39" s="19">
        <f t="shared" si="6"/>
        <v>0</v>
      </c>
      <c r="K39" s="19">
        <f t="shared" si="7"/>
        <v>0</v>
      </c>
      <c r="L39" s="19">
        <f t="shared" si="8"/>
        <v>0</v>
      </c>
      <c r="M39" s="19">
        <f t="shared" si="9"/>
        <v>0</v>
      </c>
      <c r="N39" s="19">
        <f t="shared" si="14"/>
        <v>0</v>
      </c>
      <c r="O39" s="19">
        <f t="shared" si="13"/>
        <v>0</v>
      </c>
      <c r="P39" s="19">
        <f t="shared" si="10"/>
        <v>0</v>
      </c>
      <c r="Q39" s="19">
        <f t="shared" si="11"/>
        <v>0</v>
      </c>
      <c r="R39" s="19">
        <f t="shared" si="12"/>
        <v>0</v>
      </c>
    </row>
    <row r="40" spans="1:18" x14ac:dyDescent="0.2">
      <c r="A40" s="25">
        <v>13</v>
      </c>
      <c r="B40" s="29">
        <f t="shared" si="0"/>
        <v>44284</v>
      </c>
      <c r="C40" s="20">
        <v>0</v>
      </c>
      <c r="D40" s="21">
        <f t="shared" si="1"/>
        <v>0</v>
      </c>
      <c r="E40" s="22" t="s">
        <v>32</v>
      </c>
      <c r="F40" s="19">
        <f t="shared" si="2"/>
        <v>0</v>
      </c>
      <c r="G40" s="19">
        <f t="shared" si="3"/>
        <v>0</v>
      </c>
      <c r="H40" s="19">
        <f t="shared" si="4"/>
        <v>0</v>
      </c>
      <c r="I40" s="19">
        <f t="shared" si="5"/>
        <v>0</v>
      </c>
      <c r="J40" s="19">
        <f t="shared" si="6"/>
        <v>0</v>
      </c>
      <c r="K40" s="19">
        <f t="shared" si="7"/>
        <v>0</v>
      </c>
      <c r="L40" s="19">
        <f t="shared" si="8"/>
        <v>0</v>
      </c>
      <c r="M40" s="19">
        <f t="shared" si="9"/>
        <v>0</v>
      </c>
      <c r="N40" s="19">
        <f t="shared" si="14"/>
        <v>0</v>
      </c>
      <c r="O40" s="19">
        <f t="shared" si="13"/>
        <v>0</v>
      </c>
      <c r="P40" s="19">
        <f t="shared" si="10"/>
        <v>0</v>
      </c>
      <c r="Q40" s="19">
        <f t="shared" si="11"/>
        <v>0</v>
      </c>
      <c r="R40" s="19">
        <f t="shared" si="12"/>
        <v>0</v>
      </c>
    </row>
    <row r="41" spans="1:18" x14ac:dyDescent="0.2">
      <c r="A41" s="25">
        <v>14</v>
      </c>
      <c r="B41" s="29">
        <f t="shared" si="0"/>
        <v>44464</v>
      </c>
      <c r="C41" s="20">
        <v>0</v>
      </c>
      <c r="D41" s="21">
        <f t="shared" si="1"/>
        <v>0</v>
      </c>
      <c r="E41" s="22" t="s">
        <v>32</v>
      </c>
      <c r="F41" s="19">
        <f t="shared" si="2"/>
        <v>0</v>
      </c>
      <c r="G41" s="19">
        <f t="shared" si="3"/>
        <v>0</v>
      </c>
      <c r="H41" s="19">
        <f t="shared" si="4"/>
        <v>0</v>
      </c>
      <c r="I41" s="19">
        <f t="shared" si="5"/>
        <v>0</v>
      </c>
      <c r="J41" s="19">
        <f t="shared" si="6"/>
        <v>0</v>
      </c>
      <c r="K41" s="19">
        <f t="shared" si="7"/>
        <v>0</v>
      </c>
      <c r="L41" s="19">
        <f t="shared" si="8"/>
        <v>0</v>
      </c>
      <c r="M41" s="19">
        <f t="shared" si="9"/>
        <v>0</v>
      </c>
      <c r="N41" s="19">
        <f t="shared" si="14"/>
        <v>0</v>
      </c>
      <c r="O41" s="19">
        <f t="shared" si="13"/>
        <v>0</v>
      </c>
      <c r="P41" s="19">
        <f t="shared" si="10"/>
        <v>0</v>
      </c>
      <c r="Q41" s="19">
        <f t="shared" si="11"/>
        <v>0</v>
      </c>
      <c r="R41" s="19">
        <f t="shared" si="12"/>
        <v>0</v>
      </c>
    </row>
    <row r="42" spans="1:18" x14ac:dyDescent="0.2">
      <c r="A42" s="25">
        <v>15</v>
      </c>
      <c r="B42" s="29">
        <f t="shared" si="0"/>
        <v>44644</v>
      </c>
      <c r="C42" s="20">
        <v>0</v>
      </c>
      <c r="D42" s="21">
        <f t="shared" si="1"/>
        <v>0</v>
      </c>
      <c r="E42" s="22" t="s">
        <v>32</v>
      </c>
      <c r="F42" s="19">
        <f t="shared" si="2"/>
        <v>0</v>
      </c>
      <c r="G42" s="19">
        <f t="shared" si="3"/>
        <v>0</v>
      </c>
      <c r="H42" s="19">
        <f t="shared" si="4"/>
        <v>0</v>
      </c>
      <c r="I42" s="19">
        <f t="shared" si="5"/>
        <v>0</v>
      </c>
      <c r="J42" s="19">
        <f t="shared" si="6"/>
        <v>0</v>
      </c>
      <c r="K42" s="19">
        <f t="shared" si="7"/>
        <v>0</v>
      </c>
      <c r="L42" s="19">
        <f t="shared" si="8"/>
        <v>0</v>
      </c>
      <c r="M42" s="19">
        <f t="shared" si="9"/>
        <v>0</v>
      </c>
      <c r="N42" s="19">
        <f t="shared" si="14"/>
        <v>0</v>
      </c>
      <c r="O42" s="19">
        <f t="shared" si="13"/>
        <v>0</v>
      </c>
      <c r="P42" s="19">
        <f t="shared" si="10"/>
        <v>0</v>
      </c>
      <c r="Q42" s="19">
        <f t="shared" si="11"/>
        <v>0</v>
      </c>
      <c r="R42" s="19">
        <f t="shared" si="12"/>
        <v>0</v>
      </c>
    </row>
    <row r="43" spans="1:18" x14ac:dyDescent="0.2">
      <c r="A43" s="25">
        <v>16</v>
      </c>
      <c r="B43" s="29">
        <f t="shared" si="0"/>
        <v>44824</v>
      </c>
      <c r="C43" s="20">
        <v>0</v>
      </c>
      <c r="D43" s="21">
        <f t="shared" si="1"/>
        <v>0</v>
      </c>
      <c r="E43" s="22" t="s">
        <v>32</v>
      </c>
      <c r="F43" s="19">
        <f t="shared" si="2"/>
        <v>0</v>
      </c>
      <c r="G43" s="19">
        <f t="shared" si="3"/>
        <v>0</v>
      </c>
      <c r="H43" s="19">
        <f t="shared" si="4"/>
        <v>0</v>
      </c>
      <c r="I43" s="19">
        <f t="shared" si="5"/>
        <v>0</v>
      </c>
      <c r="J43" s="19">
        <f t="shared" si="6"/>
        <v>0</v>
      </c>
      <c r="K43" s="19">
        <f t="shared" si="7"/>
        <v>0</v>
      </c>
      <c r="L43" s="19">
        <f t="shared" si="8"/>
        <v>0</v>
      </c>
      <c r="M43" s="19">
        <f t="shared" si="9"/>
        <v>0</v>
      </c>
      <c r="N43" s="19">
        <f t="shared" si="14"/>
        <v>0</v>
      </c>
      <c r="O43" s="19">
        <f t="shared" si="13"/>
        <v>0</v>
      </c>
      <c r="P43" s="19">
        <f t="shared" si="10"/>
        <v>0</v>
      </c>
      <c r="Q43" s="19">
        <f t="shared" si="11"/>
        <v>0</v>
      </c>
      <c r="R43" s="19">
        <f t="shared" si="12"/>
        <v>0</v>
      </c>
    </row>
    <row r="44" spans="1:18" x14ac:dyDescent="0.2">
      <c r="A44" s="25">
        <v>17</v>
      </c>
      <c r="B44" s="29">
        <f t="shared" si="0"/>
        <v>45004</v>
      </c>
      <c r="C44" s="20">
        <v>0</v>
      </c>
      <c r="D44" s="21">
        <f t="shared" si="1"/>
        <v>0</v>
      </c>
      <c r="E44" s="22" t="s">
        <v>32</v>
      </c>
      <c r="F44" s="19">
        <f t="shared" si="2"/>
        <v>0</v>
      </c>
      <c r="G44" s="19">
        <f t="shared" si="3"/>
        <v>0</v>
      </c>
      <c r="H44" s="19">
        <f t="shared" si="4"/>
        <v>0</v>
      </c>
      <c r="I44" s="19">
        <f t="shared" si="5"/>
        <v>0</v>
      </c>
      <c r="J44" s="19">
        <f t="shared" si="6"/>
        <v>0</v>
      </c>
      <c r="K44" s="19">
        <f t="shared" si="7"/>
        <v>0</v>
      </c>
      <c r="L44" s="19">
        <f t="shared" si="8"/>
        <v>0</v>
      </c>
      <c r="M44" s="19">
        <f t="shared" si="9"/>
        <v>0</v>
      </c>
      <c r="N44" s="19">
        <f t="shared" si="14"/>
        <v>0</v>
      </c>
      <c r="O44" s="19">
        <f t="shared" si="13"/>
        <v>0</v>
      </c>
      <c r="P44" s="19">
        <f t="shared" si="10"/>
        <v>0</v>
      </c>
      <c r="Q44" s="19">
        <f t="shared" si="11"/>
        <v>0</v>
      </c>
      <c r="R44" s="19">
        <f t="shared" si="12"/>
        <v>0</v>
      </c>
    </row>
    <row r="45" spans="1:18" x14ac:dyDescent="0.2">
      <c r="A45" s="25">
        <v>18</v>
      </c>
      <c r="B45" s="29">
        <f t="shared" si="0"/>
        <v>45184</v>
      </c>
      <c r="C45" s="20">
        <v>0</v>
      </c>
      <c r="D45" s="21">
        <f t="shared" si="1"/>
        <v>0</v>
      </c>
      <c r="E45" s="22" t="s">
        <v>32</v>
      </c>
      <c r="F45" s="19">
        <f t="shared" si="2"/>
        <v>0</v>
      </c>
      <c r="G45" s="19">
        <f t="shared" si="3"/>
        <v>0</v>
      </c>
      <c r="H45" s="19">
        <f t="shared" si="4"/>
        <v>0</v>
      </c>
      <c r="I45" s="19">
        <f t="shared" si="5"/>
        <v>0</v>
      </c>
      <c r="J45" s="19">
        <f t="shared" si="6"/>
        <v>0</v>
      </c>
      <c r="K45" s="19">
        <f t="shared" si="7"/>
        <v>0</v>
      </c>
      <c r="L45" s="19">
        <f t="shared" si="8"/>
        <v>0</v>
      </c>
      <c r="M45" s="19">
        <f t="shared" si="9"/>
        <v>0</v>
      </c>
      <c r="N45" s="19">
        <f t="shared" si="14"/>
        <v>0</v>
      </c>
      <c r="O45" s="19">
        <f t="shared" si="13"/>
        <v>0</v>
      </c>
      <c r="P45" s="19">
        <f t="shared" si="10"/>
        <v>0</v>
      </c>
      <c r="Q45" s="19">
        <f t="shared" si="11"/>
        <v>0</v>
      </c>
      <c r="R45" s="19">
        <f t="shared" si="12"/>
        <v>0</v>
      </c>
    </row>
    <row r="46" spans="1:18" x14ac:dyDescent="0.2">
      <c r="A46" s="25">
        <v>19</v>
      </c>
      <c r="B46" s="29">
        <f t="shared" si="0"/>
        <v>45364</v>
      </c>
      <c r="C46" s="20">
        <v>0</v>
      </c>
      <c r="D46" s="21">
        <f t="shared" si="1"/>
        <v>0</v>
      </c>
      <c r="E46" s="22" t="s">
        <v>32</v>
      </c>
      <c r="F46" s="19">
        <f t="shared" si="2"/>
        <v>0</v>
      </c>
      <c r="G46" s="19">
        <f t="shared" si="3"/>
        <v>0</v>
      </c>
      <c r="H46" s="19">
        <f t="shared" si="4"/>
        <v>0</v>
      </c>
      <c r="I46" s="19">
        <f t="shared" si="5"/>
        <v>0</v>
      </c>
      <c r="J46" s="19">
        <f t="shared" si="6"/>
        <v>0</v>
      </c>
      <c r="K46" s="19">
        <f t="shared" si="7"/>
        <v>0</v>
      </c>
      <c r="L46" s="19">
        <f t="shared" si="8"/>
        <v>0</v>
      </c>
      <c r="M46" s="19">
        <f t="shared" si="9"/>
        <v>0</v>
      </c>
      <c r="N46" s="19">
        <f t="shared" si="14"/>
        <v>0</v>
      </c>
      <c r="O46" s="19">
        <f t="shared" si="13"/>
        <v>0</v>
      </c>
      <c r="P46" s="19">
        <f t="shared" si="10"/>
        <v>0</v>
      </c>
      <c r="Q46" s="19">
        <f t="shared" si="11"/>
        <v>0</v>
      </c>
      <c r="R46" s="19">
        <f t="shared" si="12"/>
        <v>0</v>
      </c>
    </row>
    <row r="47" spans="1:18" x14ac:dyDescent="0.2">
      <c r="A47" s="25">
        <v>20</v>
      </c>
      <c r="B47" s="29">
        <f t="shared" si="0"/>
        <v>45544</v>
      </c>
      <c r="C47" s="20">
        <v>0</v>
      </c>
      <c r="D47" s="21">
        <f t="shared" si="1"/>
        <v>0</v>
      </c>
      <c r="E47" s="22" t="s">
        <v>32</v>
      </c>
      <c r="F47" s="19">
        <f t="shared" si="2"/>
        <v>0</v>
      </c>
      <c r="G47" s="19">
        <f t="shared" si="3"/>
        <v>0</v>
      </c>
      <c r="H47" s="19">
        <f t="shared" si="4"/>
        <v>0</v>
      </c>
      <c r="I47" s="19">
        <f t="shared" si="5"/>
        <v>0</v>
      </c>
      <c r="J47" s="19">
        <f t="shared" si="6"/>
        <v>0</v>
      </c>
      <c r="K47" s="19">
        <f t="shared" si="7"/>
        <v>0</v>
      </c>
      <c r="L47" s="19">
        <f t="shared" si="8"/>
        <v>0</v>
      </c>
      <c r="M47" s="19">
        <f t="shared" si="9"/>
        <v>0</v>
      </c>
      <c r="N47" s="19">
        <f t="shared" si="14"/>
        <v>0</v>
      </c>
      <c r="O47" s="19">
        <f t="shared" si="13"/>
        <v>0</v>
      </c>
      <c r="P47" s="19">
        <f t="shared" si="10"/>
        <v>0</v>
      </c>
      <c r="Q47" s="19">
        <f t="shared" si="11"/>
        <v>0</v>
      </c>
      <c r="R47" s="19">
        <f t="shared" si="12"/>
        <v>0</v>
      </c>
    </row>
    <row r="48" spans="1:18" x14ac:dyDescent="0.2">
      <c r="A48" s="25">
        <v>21</v>
      </c>
      <c r="B48" s="29">
        <f t="shared" si="0"/>
        <v>45724</v>
      </c>
      <c r="C48" s="20">
        <v>0</v>
      </c>
      <c r="D48" s="21">
        <f t="shared" si="1"/>
        <v>0</v>
      </c>
      <c r="E48" s="22" t="s">
        <v>32</v>
      </c>
      <c r="F48" s="19">
        <f t="shared" si="2"/>
        <v>0</v>
      </c>
      <c r="G48" s="19">
        <f t="shared" si="3"/>
        <v>0</v>
      </c>
      <c r="H48" s="19">
        <f t="shared" si="4"/>
        <v>0</v>
      </c>
      <c r="I48" s="19">
        <f t="shared" si="5"/>
        <v>0</v>
      </c>
      <c r="J48" s="19">
        <f t="shared" si="6"/>
        <v>0</v>
      </c>
      <c r="K48" s="19">
        <f t="shared" si="7"/>
        <v>0</v>
      </c>
      <c r="L48" s="19">
        <f t="shared" si="8"/>
        <v>0</v>
      </c>
      <c r="M48" s="19">
        <f t="shared" si="9"/>
        <v>0</v>
      </c>
      <c r="N48" s="19">
        <f t="shared" si="14"/>
        <v>0</v>
      </c>
      <c r="O48" s="19">
        <f t="shared" si="13"/>
        <v>0</v>
      </c>
      <c r="P48" s="19">
        <f t="shared" si="10"/>
        <v>0</v>
      </c>
      <c r="Q48" s="19">
        <f t="shared" si="11"/>
        <v>0</v>
      </c>
      <c r="R48" s="19">
        <f t="shared" si="12"/>
        <v>0</v>
      </c>
    </row>
    <row r="49" spans="1:18" x14ac:dyDescent="0.2">
      <c r="A49" s="25">
        <v>22</v>
      </c>
      <c r="B49" s="29">
        <f t="shared" si="0"/>
        <v>45904</v>
      </c>
      <c r="C49" s="20">
        <v>0</v>
      </c>
      <c r="D49" s="21">
        <f t="shared" si="1"/>
        <v>0</v>
      </c>
      <c r="E49" s="22" t="s">
        <v>32</v>
      </c>
      <c r="F49" s="19">
        <f t="shared" si="2"/>
        <v>0</v>
      </c>
      <c r="G49" s="19">
        <f t="shared" si="3"/>
        <v>0</v>
      </c>
      <c r="H49" s="19">
        <f t="shared" si="4"/>
        <v>0</v>
      </c>
      <c r="I49" s="19">
        <f t="shared" si="5"/>
        <v>0</v>
      </c>
      <c r="J49" s="19">
        <f t="shared" si="6"/>
        <v>0</v>
      </c>
      <c r="K49" s="19">
        <f t="shared" si="7"/>
        <v>0</v>
      </c>
      <c r="L49" s="19">
        <f t="shared" si="8"/>
        <v>0</v>
      </c>
      <c r="M49" s="19">
        <f t="shared" si="9"/>
        <v>0</v>
      </c>
      <c r="N49" s="19">
        <f t="shared" si="14"/>
        <v>0</v>
      </c>
      <c r="O49" s="19">
        <f t="shared" si="13"/>
        <v>0</v>
      </c>
      <c r="P49" s="19">
        <f t="shared" si="10"/>
        <v>0</v>
      </c>
      <c r="Q49" s="19">
        <f t="shared" si="11"/>
        <v>0</v>
      </c>
      <c r="R49" s="19">
        <f t="shared" si="12"/>
        <v>0</v>
      </c>
    </row>
    <row r="50" spans="1:18" x14ac:dyDescent="0.2">
      <c r="A50" s="25">
        <v>23</v>
      </c>
      <c r="B50" s="29">
        <f t="shared" si="0"/>
        <v>46084</v>
      </c>
      <c r="C50" s="20">
        <v>0</v>
      </c>
      <c r="D50" s="21">
        <f t="shared" si="1"/>
        <v>0</v>
      </c>
      <c r="E50" s="22" t="s">
        <v>32</v>
      </c>
      <c r="F50" s="19">
        <f t="shared" si="2"/>
        <v>0</v>
      </c>
      <c r="G50" s="19">
        <f t="shared" si="3"/>
        <v>0</v>
      </c>
      <c r="H50" s="19">
        <f t="shared" si="4"/>
        <v>0</v>
      </c>
      <c r="I50" s="19">
        <f t="shared" si="5"/>
        <v>0</v>
      </c>
      <c r="J50" s="19">
        <f t="shared" si="6"/>
        <v>0</v>
      </c>
      <c r="K50" s="19">
        <f t="shared" si="7"/>
        <v>0</v>
      </c>
      <c r="L50" s="19">
        <f t="shared" si="8"/>
        <v>0</v>
      </c>
      <c r="M50" s="19">
        <f t="shared" si="9"/>
        <v>0</v>
      </c>
      <c r="N50" s="19">
        <f t="shared" si="14"/>
        <v>0</v>
      </c>
      <c r="O50" s="19">
        <f t="shared" si="13"/>
        <v>0</v>
      </c>
      <c r="P50" s="19">
        <f t="shared" si="10"/>
        <v>0</v>
      </c>
      <c r="Q50" s="19">
        <f t="shared" si="11"/>
        <v>0</v>
      </c>
      <c r="R50" s="19">
        <f t="shared" si="12"/>
        <v>0</v>
      </c>
    </row>
    <row r="51" spans="1:18" x14ac:dyDescent="0.2">
      <c r="A51" s="25">
        <v>24</v>
      </c>
      <c r="B51" s="29">
        <f t="shared" si="0"/>
        <v>46264</v>
      </c>
      <c r="C51" s="20">
        <v>0</v>
      </c>
      <c r="D51" s="21">
        <f t="shared" si="1"/>
        <v>0</v>
      </c>
      <c r="E51" s="22" t="s">
        <v>32</v>
      </c>
      <c r="F51" s="19">
        <f t="shared" si="2"/>
        <v>0</v>
      </c>
      <c r="G51" s="19">
        <f t="shared" si="3"/>
        <v>0</v>
      </c>
      <c r="H51" s="19">
        <f t="shared" si="4"/>
        <v>0</v>
      </c>
      <c r="I51" s="19">
        <f t="shared" si="5"/>
        <v>0</v>
      </c>
      <c r="J51" s="19">
        <f t="shared" si="6"/>
        <v>0</v>
      </c>
      <c r="K51" s="19">
        <f t="shared" si="7"/>
        <v>0</v>
      </c>
      <c r="L51" s="19">
        <f t="shared" si="8"/>
        <v>0</v>
      </c>
      <c r="M51" s="19">
        <f t="shared" si="9"/>
        <v>0</v>
      </c>
      <c r="N51" s="19">
        <f t="shared" si="14"/>
        <v>0</v>
      </c>
      <c r="O51" s="19">
        <f t="shared" si="13"/>
        <v>0</v>
      </c>
      <c r="P51" s="19">
        <f t="shared" si="10"/>
        <v>0</v>
      </c>
      <c r="Q51" s="19">
        <f t="shared" si="11"/>
        <v>0</v>
      </c>
      <c r="R51" s="19">
        <f t="shared" si="12"/>
        <v>0</v>
      </c>
    </row>
    <row r="52" spans="1:18" x14ac:dyDescent="0.2">
      <c r="A52" s="25">
        <v>25</v>
      </c>
      <c r="B52" s="29">
        <f t="shared" si="0"/>
        <v>46444</v>
      </c>
      <c r="C52" s="20">
        <v>0</v>
      </c>
      <c r="D52" s="21">
        <f t="shared" si="1"/>
        <v>0</v>
      </c>
      <c r="E52" s="22" t="s">
        <v>32</v>
      </c>
      <c r="F52" s="19">
        <f t="shared" si="2"/>
        <v>0</v>
      </c>
      <c r="G52" s="19">
        <f t="shared" si="3"/>
        <v>0</v>
      </c>
      <c r="H52" s="19">
        <f t="shared" si="4"/>
        <v>0</v>
      </c>
      <c r="I52" s="19">
        <f t="shared" si="5"/>
        <v>0</v>
      </c>
      <c r="J52" s="19">
        <f t="shared" si="6"/>
        <v>0</v>
      </c>
      <c r="K52" s="19">
        <f t="shared" si="7"/>
        <v>0</v>
      </c>
      <c r="L52" s="19">
        <f t="shared" si="8"/>
        <v>0</v>
      </c>
      <c r="M52" s="19">
        <f t="shared" si="9"/>
        <v>0</v>
      </c>
      <c r="N52" s="19">
        <f t="shared" si="14"/>
        <v>0</v>
      </c>
      <c r="O52" s="19">
        <f t="shared" si="13"/>
        <v>0</v>
      </c>
      <c r="P52" s="19">
        <f t="shared" si="10"/>
        <v>0</v>
      </c>
      <c r="Q52" s="19">
        <f t="shared" si="11"/>
        <v>0</v>
      </c>
      <c r="R52" s="19">
        <f t="shared" si="12"/>
        <v>0</v>
      </c>
    </row>
    <row r="53" spans="1:18" x14ac:dyDescent="0.2">
      <c r="A53" s="25">
        <v>26</v>
      </c>
      <c r="B53" s="29">
        <f t="shared" si="0"/>
        <v>46624</v>
      </c>
      <c r="C53" s="20">
        <v>0</v>
      </c>
      <c r="D53" s="21">
        <f t="shared" si="1"/>
        <v>0</v>
      </c>
      <c r="E53" s="22" t="s">
        <v>32</v>
      </c>
      <c r="F53" s="19">
        <f t="shared" si="2"/>
        <v>0</v>
      </c>
      <c r="G53" s="19">
        <f t="shared" si="3"/>
        <v>0</v>
      </c>
      <c r="H53" s="19">
        <f t="shared" si="4"/>
        <v>0</v>
      </c>
      <c r="I53" s="19">
        <f t="shared" si="5"/>
        <v>0</v>
      </c>
      <c r="J53" s="19">
        <f t="shared" si="6"/>
        <v>0</v>
      </c>
      <c r="K53" s="19">
        <f t="shared" si="7"/>
        <v>0</v>
      </c>
      <c r="L53" s="19">
        <f t="shared" si="8"/>
        <v>0</v>
      </c>
      <c r="M53" s="19">
        <f t="shared" si="9"/>
        <v>0</v>
      </c>
      <c r="N53" s="19">
        <f t="shared" si="14"/>
        <v>0</v>
      </c>
      <c r="O53" s="19">
        <f t="shared" si="13"/>
        <v>0</v>
      </c>
      <c r="P53" s="19">
        <f t="shared" si="10"/>
        <v>0</v>
      </c>
      <c r="Q53" s="19">
        <f t="shared" si="11"/>
        <v>0</v>
      </c>
      <c r="R53" s="19">
        <f t="shared" si="12"/>
        <v>0</v>
      </c>
    </row>
    <row r="54" spans="1:18" x14ac:dyDescent="0.2">
      <c r="A54" s="25">
        <v>27</v>
      </c>
      <c r="B54" s="29">
        <f t="shared" si="0"/>
        <v>46804</v>
      </c>
      <c r="C54" s="20">
        <v>0</v>
      </c>
      <c r="D54" s="21">
        <f t="shared" si="1"/>
        <v>0</v>
      </c>
      <c r="E54" s="22" t="s">
        <v>32</v>
      </c>
      <c r="F54" s="19">
        <f t="shared" si="2"/>
        <v>0</v>
      </c>
      <c r="G54" s="19">
        <f t="shared" si="3"/>
        <v>0</v>
      </c>
      <c r="H54" s="19">
        <f t="shared" si="4"/>
        <v>0</v>
      </c>
      <c r="I54" s="19">
        <f t="shared" si="5"/>
        <v>0</v>
      </c>
      <c r="J54" s="19">
        <f t="shared" si="6"/>
        <v>0</v>
      </c>
      <c r="K54" s="19">
        <f t="shared" si="7"/>
        <v>0</v>
      </c>
      <c r="L54" s="19">
        <f t="shared" si="8"/>
        <v>0</v>
      </c>
      <c r="M54" s="19">
        <f t="shared" si="9"/>
        <v>0</v>
      </c>
      <c r="N54" s="19">
        <f t="shared" si="14"/>
        <v>0</v>
      </c>
      <c r="O54" s="19">
        <f t="shared" si="13"/>
        <v>0</v>
      </c>
      <c r="P54" s="19">
        <f t="shared" si="10"/>
        <v>0</v>
      </c>
      <c r="Q54" s="19">
        <f t="shared" si="11"/>
        <v>0</v>
      </c>
      <c r="R54" s="19">
        <f t="shared" si="12"/>
        <v>0</v>
      </c>
    </row>
    <row r="55" spans="1:18" x14ac:dyDescent="0.2">
      <c r="A55" s="25">
        <v>28</v>
      </c>
      <c r="B55" s="29">
        <f t="shared" si="0"/>
        <v>46984</v>
      </c>
      <c r="C55" s="20">
        <v>0</v>
      </c>
      <c r="D55" s="21">
        <f t="shared" si="1"/>
        <v>0</v>
      </c>
      <c r="E55" s="22" t="s">
        <v>32</v>
      </c>
      <c r="F55" s="19">
        <f t="shared" si="2"/>
        <v>0</v>
      </c>
      <c r="G55" s="19">
        <f t="shared" si="3"/>
        <v>0</v>
      </c>
      <c r="H55" s="19">
        <f t="shared" si="4"/>
        <v>0</v>
      </c>
      <c r="I55" s="19">
        <f t="shared" si="5"/>
        <v>0</v>
      </c>
      <c r="J55" s="19">
        <f t="shared" si="6"/>
        <v>0</v>
      </c>
      <c r="K55" s="19">
        <f t="shared" si="7"/>
        <v>0</v>
      </c>
      <c r="L55" s="19">
        <f t="shared" si="8"/>
        <v>0</v>
      </c>
      <c r="M55" s="19">
        <f t="shared" si="9"/>
        <v>0</v>
      </c>
      <c r="N55" s="19">
        <f t="shared" si="14"/>
        <v>0</v>
      </c>
      <c r="O55" s="19">
        <f t="shared" si="13"/>
        <v>0</v>
      </c>
      <c r="P55" s="19">
        <f t="shared" si="10"/>
        <v>0</v>
      </c>
      <c r="Q55" s="19">
        <f t="shared" si="11"/>
        <v>0</v>
      </c>
      <c r="R55" s="19">
        <f t="shared" si="12"/>
        <v>0</v>
      </c>
    </row>
    <row r="56" spans="1:18" x14ac:dyDescent="0.2">
      <c r="A56" s="25">
        <v>29</v>
      </c>
      <c r="B56" s="29">
        <f t="shared" si="0"/>
        <v>47164</v>
      </c>
      <c r="C56" s="20">
        <v>0</v>
      </c>
      <c r="D56" s="21">
        <f t="shared" si="1"/>
        <v>0</v>
      </c>
      <c r="E56" s="22" t="s">
        <v>32</v>
      </c>
      <c r="F56" s="19">
        <f t="shared" si="2"/>
        <v>0</v>
      </c>
      <c r="G56" s="19">
        <f t="shared" si="3"/>
        <v>0</v>
      </c>
      <c r="H56" s="19">
        <f t="shared" si="4"/>
        <v>0</v>
      </c>
      <c r="I56" s="19">
        <f t="shared" si="5"/>
        <v>0</v>
      </c>
      <c r="J56" s="19">
        <f t="shared" si="6"/>
        <v>0</v>
      </c>
      <c r="K56" s="19">
        <f t="shared" si="7"/>
        <v>0</v>
      </c>
      <c r="L56" s="19">
        <f t="shared" si="8"/>
        <v>0</v>
      </c>
      <c r="M56" s="19">
        <f t="shared" si="9"/>
        <v>0</v>
      </c>
      <c r="N56" s="19">
        <f t="shared" si="14"/>
        <v>0</v>
      </c>
      <c r="O56" s="19">
        <f t="shared" si="13"/>
        <v>0</v>
      </c>
      <c r="P56" s="19">
        <f t="shared" si="10"/>
        <v>0</v>
      </c>
      <c r="Q56" s="19">
        <f t="shared" si="11"/>
        <v>0</v>
      </c>
      <c r="R56" s="19">
        <f t="shared" si="12"/>
        <v>0</v>
      </c>
    </row>
    <row r="57" spans="1:18" x14ac:dyDescent="0.2">
      <c r="A57" s="25">
        <v>30</v>
      </c>
      <c r="B57" s="29">
        <f t="shared" si="0"/>
        <v>47344</v>
      </c>
      <c r="C57" s="20">
        <v>0</v>
      </c>
      <c r="D57" s="21">
        <f t="shared" si="1"/>
        <v>0</v>
      </c>
      <c r="E57" s="22" t="s">
        <v>32</v>
      </c>
      <c r="F57" s="19">
        <f t="shared" si="2"/>
        <v>0</v>
      </c>
      <c r="G57" s="19">
        <f t="shared" si="3"/>
        <v>0</v>
      </c>
      <c r="H57" s="19">
        <f t="shared" si="4"/>
        <v>0</v>
      </c>
      <c r="I57" s="19">
        <f t="shared" si="5"/>
        <v>0</v>
      </c>
      <c r="J57" s="19">
        <f t="shared" si="6"/>
        <v>0</v>
      </c>
      <c r="K57" s="19">
        <f t="shared" si="7"/>
        <v>0</v>
      </c>
      <c r="L57" s="19">
        <f t="shared" si="8"/>
        <v>0</v>
      </c>
      <c r="M57" s="19">
        <f t="shared" si="9"/>
        <v>0</v>
      </c>
      <c r="N57" s="19">
        <f t="shared" si="14"/>
        <v>0</v>
      </c>
      <c r="O57" s="19">
        <f t="shared" si="13"/>
        <v>0</v>
      </c>
      <c r="P57" s="19">
        <f t="shared" si="10"/>
        <v>0</v>
      </c>
      <c r="Q57" s="19">
        <f t="shared" si="11"/>
        <v>0</v>
      </c>
      <c r="R57" s="19">
        <f t="shared" si="12"/>
        <v>0</v>
      </c>
    </row>
  </sheetData>
  <mergeCells count="43">
    <mergeCell ref="A3:A20"/>
    <mergeCell ref="I3:L3"/>
    <mergeCell ref="I13:L13"/>
    <mergeCell ref="I16:L16"/>
    <mergeCell ref="B12:D12"/>
    <mergeCell ref="B13:D13"/>
    <mergeCell ref="B14:D14"/>
    <mergeCell ref="B16:D16"/>
    <mergeCell ref="B4:D4"/>
    <mergeCell ref="B5:D5"/>
    <mergeCell ref="B6:D6"/>
    <mergeCell ref="B7:D7"/>
    <mergeCell ref="B8:D8"/>
    <mergeCell ref="H3:H24"/>
    <mergeCell ref="B3:E3"/>
    <mergeCell ref="B15:E15"/>
    <mergeCell ref="B9:D9"/>
    <mergeCell ref="I17:K17"/>
    <mergeCell ref="I18:K18"/>
    <mergeCell ref="B17:D17"/>
    <mergeCell ref="B10:D10"/>
    <mergeCell ref="B11:D11"/>
    <mergeCell ref="I19:K19"/>
    <mergeCell ref="I20:K20"/>
    <mergeCell ref="B18:D18"/>
    <mergeCell ref="B19:D19"/>
    <mergeCell ref="B20:D20"/>
    <mergeCell ref="I22:K22"/>
    <mergeCell ref="I23:K23"/>
    <mergeCell ref="I24:K24"/>
    <mergeCell ref="A1:R1"/>
    <mergeCell ref="I21:M21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4:K14"/>
    <mergeCell ref="I15:K15"/>
  </mergeCells>
  <conditionalFormatting sqref="E6 C28:C57 E11 E8 E13 E16:E19 E20:F20 F17:F19">
    <cfRule type="cellIs" dxfId="29" priority="26" stopIfTrue="1" operator="greaterThan">
      <formula>0</formula>
    </cfRule>
    <cfRule type="cellIs" dxfId="28" priority="27" stopIfTrue="1" operator="lessThan">
      <formula>0</formula>
    </cfRule>
  </conditionalFormatting>
  <conditionalFormatting sqref="E4:E5">
    <cfRule type="cellIs" dxfId="27" priority="20" stopIfTrue="1" operator="greaterThan">
      <formula>0</formula>
    </cfRule>
    <cfRule type="cellIs" dxfId="26" priority="21" stopIfTrue="1" operator="lessThan">
      <formula>0</formula>
    </cfRule>
  </conditionalFormatting>
  <conditionalFormatting sqref="E14">
    <cfRule type="cellIs" dxfId="25" priority="18" stopIfTrue="1" operator="greaterThan">
      <formula>0</formula>
    </cfRule>
    <cfRule type="cellIs" dxfId="24" priority="19" stopIfTrue="1" operator="lessThan">
      <formula>0</formula>
    </cfRule>
  </conditionalFormatting>
  <conditionalFormatting sqref="E7">
    <cfRule type="cellIs" dxfId="23" priority="10" stopIfTrue="1" operator="greaterThan">
      <formula>0</formula>
    </cfRule>
    <cfRule type="cellIs" dxfId="22" priority="11" stopIfTrue="1" operator="lessThan">
      <formula>0</formula>
    </cfRule>
  </conditionalFormatting>
  <conditionalFormatting sqref="E10">
    <cfRule type="expression" dxfId="21" priority="3">
      <formula>$E$9="Efectiva"</formula>
    </cfRule>
    <cfRule type="cellIs" dxfId="20" priority="8" stopIfTrue="1" operator="greaterThan">
      <formula>0</formula>
    </cfRule>
    <cfRule type="cellIs" dxfId="19" priority="9" stopIfTrue="1" operator="lessThan">
      <formula>0</formula>
    </cfRule>
  </conditionalFormatting>
  <conditionalFormatting sqref="E9">
    <cfRule type="cellIs" dxfId="18" priority="6" stopIfTrue="1" operator="greaterThan">
      <formula>0</formula>
    </cfRule>
    <cfRule type="cellIs" dxfId="17" priority="7" stopIfTrue="1" operator="lessThan">
      <formula>0</formula>
    </cfRule>
  </conditionalFormatting>
  <conditionalFormatting sqref="E12">
    <cfRule type="cellIs" dxfId="16" priority="1" stopIfTrue="1" operator="greaterThan">
      <formula>0</formula>
    </cfRule>
    <cfRule type="cellIs" dxfId="15" priority="2" stopIfTrue="1" operator="lessThan">
      <formula>0</formula>
    </cfRule>
  </conditionalFormatting>
  <dataValidations count="6">
    <dataValidation type="list" allowBlank="1" showInputMessage="1" showErrorMessage="1" sqref="E28:E57" xr:uid="{00000000-0002-0000-0000-000000000000}">
      <formula1>"T,P,S"</formula1>
    </dataValidation>
    <dataValidation type="list" allowBlank="1" showInputMessage="1" showErrorMessage="1" errorTitle="ERROR" error="Debe elegir una frecuencia de pago válida" sqref="E7" xr:uid="{00000000-0002-0000-0000-000001000000}">
      <formula1>"Mensual,Bimestral,Trimestral,Cuatrimestral,Semestral,Anual"</formula1>
    </dataValidation>
    <dataValidation type="list" allowBlank="1" showInputMessage="1" showErrorMessage="1" sqref="E8" xr:uid="{00000000-0002-0000-0000-000002000000}">
      <formula1>"360,365"</formula1>
    </dataValidation>
    <dataValidation type="list" allowBlank="1" showInputMessage="1" showErrorMessage="1" errorTitle="ERROR" error="Debe elegir una frecuencia de pago válida" sqref="E9" xr:uid="{00000000-0002-0000-0000-000003000000}">
      <formula1>"Nominal,Efectiva"</formula1>
    </dataValidation>
    <dataValidation type="list" allowBlank="1" showInputMessage="1" showErrorMessage="1" errorTitle="ERROR" error="Debe elegir una frecuencia de pago válida" sqref="E10" xr:uid="{00000000-0002-0000-0000-000004000000}">
      <formula1>"Diaria,Quincenal,Mensual,Bimestral,Trimestral,Cuatrimestral,Semestral,Anual"</formula1>
    </dataValidation>
    <dataValidation type="list" allowBlank="1" showInputMessage="1" showErrorMessage="1" errorTitle="ERROR" error="Debe de elejir entre pagada en &quot;EFECTIVO&quot; o ser incluida dentro del &quot;PRESTAMO&quot;" sqref="F17:F20" xr:uid="{00000000-0002-0000-0000-000005000000}">
      <formula1>"Emisor,Bonista,Ambos"</formula1>
    </dataValidation>
  </dataValidations>
  <printOptions horizontalCentered="1" verticalCentered="1"/>
  <pageMargins left="0.75" right="0.75" top="1" bottom="1" header="0" footer="0"/>
  <pageSetup paperSize="9" orientation="landscape" horizontalDpi="4294967293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57"/>
  <sheetViews>
    <sheetView tabSelected="1" zoomScale="115" zoomScaleNormal="115" workbookViewId="0">
      <selection activeCell="K37" sqref="K37"/>
    </sheetView>
  </sheetViews>
  <sheetFormatPr defaultColWidth="11.42578125" defaultRowHeight="12.75" x14ac:dyDescent="0.2"/>
  <cols>
    <col min="1" max="1" width="3.28515625" bestFit="1" customWidth="1"/>
    <col min="2" max="2" width="10.42578125" bestFit="1" customWidth="1"/>
    <col min="3" max="3" width="7.42578125" bestFit="1" customWidth="1"/>
    <col min="4" max="4" width="8.85546875" bestFit="1" customWidth="1"/>
    <col min="5" max="5" width="10.42578125" bestFit="1" customWidth="1"/>
    <col min="6" max="7" width="8.85546875" bestFit="1" customWidth="1"/>
    <col min="8" max="8" width="7.7109375" bestFit="1" customWidth="1"/>
    <col min="9" max="10" width="8" bestFit="1" customWidth="1"/>
    <col min="11" max="11" width="7" bestFit="1" customWidth="1"/>
    <col min="12" max="12" width="9.85546875" bestFit="1" customWidth="1"/>
    <col min="13" max="14" width="10.42578125" bestFit="1" customWidth="1"/>
    <col min="15" max="15" width="9.42578125" bestFit="1" customWidth="1"/>
    <col min="16" max="16" width="8.140625" bestFit="1" customWidth="1"/>
    <col min="17" max="17" width="8.7109375" bestFit="1" customWidth="1"/>
    <col min="18" max="18" width="11.7109375" bestFit="1" customWidth="1"/>
  </cols>
  <sheetData>
    <row r="1" spans="1:18" ht="21" x14ac:dyDescent="0.45">
      <c r="A1" s="31" t="s">
        <v>62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</row>
    <row r="3" spans="1:18" ht="12.75" customHeight="1" x14ac:dyDescent="0.2">
      <c r="A3" s="36" t="s">
        <v>43</v>
      </c>
      <c r="B3" s="34" t="s">
        <v>38</v>
      </c>
      <c r="C3" s="34"/>
      <c r="D3" s="34"/>
      <c r="E3" s="34"/>
      <c r="H3" s="36" t="s">
        <v>44</v>
      </c>
      <c r="I3" s="34" t="s">
        <v>57</v>
      </c>
      <c r="J3" s="34"/>
      <c r="K3" s="34"/>
      <c r="L3" s="34"/>
    </row>
    <row r="4" spans="1:18" x14ac:dyDescent="0.2">
      <c r="A4" s="36"/>
      <c r="B4" s="30" t="s">
        <v>17</v>
      </c>
      <c r="C4" s="30"/>
      <c r="D4" s="30"/>
      <c r="E4" s="2">
        <v>1000</v>
      </c>
      <c r="H4" s="36"/>
      <c r="I4" s="30" t="s">
        <v>55</v>
      </c>
      <c r="J4" s="30"/>
      <c r="K4" s="30"/>
      <c r="L4" s="9">
        <f>IF(E7="Mensual",30,IF(E7="Bimestral",60,IF(E7="Trimestral",90,IF(E7="Cuatrimestral",120,IF(E7="Semestral",180,360)))))</f>
        <v>180</v>
      </c>
    </row>
    <row r="5" spans="1:18" x14ac:dyDescent="0.2">
      <c r="A5" s="36"/>
      <c r="B5" s="30" t="s">
        <v>18</v>
      </c>
      <c r="C5" s="30"/>
      <c r="D5" s="30"/>
      <c r="E5" s="2">
        <v>1050</v>
      </c>
      <c r="H5" s="36"/>
      <c r="I5" s="30" t="s">
        <v>56</v>
      </c>
      <c r="J5" s="30"/>
      <c r="K5" s="30"/>
      <c r="L5" s="9">
        <f>IF(E10="Diaria",1,IF(E10="Quincenal",15,IF(E10="Mensual",30,IF(E10="Bimestral",60,IF(E10="Trimestral",90,IF(E10="Cuatrimestral",120,IF(E10="Semestral",180,360)))))))</f>
        <v>1</v>
      </c>
    </row>
    <row r="6" spans="1:18" x14ac:dyDescent="0.2">
      <c r="A6" s="36"/>
      <c r="B6" s="30" t="s">
        <v>0</v>
      </c>
      <c r="C6" s="30"/>
      <c r="D6" s="30"/>
      <c r="E6" s="4">
        <v>5</v>
      </c>
      <c r="H6" s="36"/>
      <c r="I6" s="30" t="s">
        <v>59</v>
      </c>
      <c r="J6" s="30"/>
      <c r="K6" s="30"/>
      <c r="L6" s="9">
        <f>E8/L4</f>
        <v>2</v>
      </c>
    </row>
    <row r="7" spans="1:18" x14ac:dyDescent="0.2">
      <c r="A7" s="36"/>
      <c r="B7" s="30" t="s">
        <v>55</v>
      </c>
      <c r="C7" s="30"/>
      <c r="D7" s="30"/>
      <c r="E7" s="1" t="s">
        <v>54</v>
      </c>
      <c r="H7" s="36"/>
      <c r="I7" s="30" t="s">
        <v>60</v>
      </c>
      <c r="J7" s="30"/>
      <c r="K7" s="30"/>
      <c r="L7" s="9">
        <f>L6*E6</f>
        <v>10</v>
      </c>
    </row>
    <row r="8" spans="1:18" x14ac:dyDescent="0.2">
      <c r="A8" s="36"/>
      <c r="B8" s="30" t="s">
        <v>1</v>
      </c>
      <c r="C8" s="30"/>
      <c r="D8" s="30"/>
      <c r="E8" s="5">
        <v>360</v>
      </c>
      <c r="H8" s="36"/>
      <c r="I8" s="30" t="s">
        <v>48</v>
      </c>
      <c r="J8" s="30"/>
      <c r="K8" s="30"/>
      <c r="L8" s="27">
        <f>IF(E9="Efectiva",E11,(1+E11/(E8/L5))^(E8/L5)-1)</f>
        <v>0.08</v>
      </c>
    </row>
    <row r="9" spans="1:18" x14ac:dyDescent="0.2">
      <c r="A9" s="36"/>
      <c r="B9" s="30" t="s">
        <v>53</v>
      </c>
      <c r="C9" s="30"/>
      <c r="D9" s="30"/>
      <c r="E9" s="1" t="s">
        <v>58</v>
      </c>
      <c r="H9" s="36"/>
      <c r="I9" s="30" t="str">
        <f>"Tasa efectiva "&amp;E7</f>
        <v>Tasa efectiva Semestral</v>
      </c>
      <c r="J9" s="30"/>
      <c r="K9" s="30"/>
      <c r="L9" s="10">
        <f>(1+L8)^(L4/E8)-1</f>
        <v>3.9230484541326494E-2</v>
      </c>
    </row>
    <row r="10" spans="1:18" x14ac:dyDescent="0.2">
      <c r="A10" s="36"/>
      <c r="B10" s="30" t="s">
        <v>52</v>
      </c>
      <c r="C10" s="30"/>
      <c r="D10" s="30"/>
      <c r="E10" s="1" t="s">
        <v>63</v>
      </c>
      <c r="H10" s="36"/>
      <c r="I10" s="30" t="str">
        <f>"COK "&amp;E7</f>
        <v>COK Semestral</v>
      </c>
      <c r="J10" s="30"/>
      <c r="K10" s="30"/>
      <c r="L10" s="10">
        <f>(1+E12)^(L4/E8)-1</f>
        <v>2.2252415013043647E-2</v>
      </c>
    </row>
    <row r="11" spans="1:18" x14ac:dyDescent="0.2">
      <c r="A11" s="36"/>
      <c r="B11" s="30" t="s">
        <v>51</v>
      </c>
      <c r="C11" s="30"/>
      <c r="D11" s="30"/>
      <c r="E11" s="8">
        <v>0.08</v>
      </c>
      <c r="H11" s="36"/>
      <c r="I11" s="30" t="s">
        <v>47</v>
      </c>
      <c r="J11" s="30"/>
      <c r="K11" s="30"/>
      <c r="L11" s="14">
        <f>SUM($E$17:$E$20)*E5</f>
        <v>23.1</v>
      </c>
    </row>
    <row r="12" spans="1:18" x14ac:dyDescent="0.2">
      <c r="A12" s="36"/>
      <c r="B12" s="30" t="s">
        <v>49</v>
      </c>
      <c r="C12" s="30"/>
      <c r="D12" s="30"/>
      <c r="E12" s="7">
        <v>4.4999999999999998E-2</v>
      </c>
      <c r="H12" s="36"/>
      <c r="I12" s="30" t="s">
        <v>50</v>
      </c>
      <c r="J12" s="30"/>
      <c r="K12" s="30"/>
      <c r="L12" s="14">
        <f>SUM($E$19:$E$20)*E5</f>
        <v>9.9749999999999996</v>
      </c>
    </row>
    <row r="13" spans="1:18" x14ac:dyDescent="0.2">
      <c r="A13" s="36"/>
      <c r="B13" s="30" t="s">
        <v>2</v>
      </c>
      <c r="C13" s="30"/>
      <c r="D13" s="30"/>
      <c r="E13" s="6">
        <v>0.3</v>
      </c>
      <c r="H13" s="36"/>
      <c r="I13" s="34" t="s">
        <v>39</v>
      </c>
      <c r="J13" s="34"/>
      <c r="K13" s="34"/>
      <c r="L13" s="34"/>
    </row>
    <row r="14" spans="1:18" x14ac:dyDescent="0.2">
      <c r="A14" s="36"/>
      <c r="B14" s="30" t="s">
        <v>45</v>
      </c>
      <c r="C14" s="30"/>
      <c r="D14" s="30"/>
      <c r="E14" s="26">
        <v>41852</v>
      </c>
      <c r="H14" s="36"/>
      <c r="I14" s="30" t="s">
        <v>41</v>
      </c>
      <c r="J14" s="30"/>
      <c r="K14" s="30"/>
      <c r="L14" s="13">
        <f>NPV(L10,O28:O57)</f>
        <v>1100.458182577685</v>
      </c>
    </row>
    <row r="15" spans="1:18" x14ac:dyDescent="0.2">
      <c r="A15" s="36"/>
      <c r="B15" s="34" t="s">
        <v>37</v>
      </c>
      <c r="C15" s="34"/>
      <c r="D15" s="34"/>
      <c r="E15" s="34"/>
      <c r="H15" s="36"/>
      <c r="I15" s="30" t="s">
        <v>42</v>
      </c>
      <c r="J15" s="30"/>
      <c r="K15" s="30"/>
      <c r="L15" s="13">
        <f>O27+NPV(L10,O28:O57)</f>
        <v>40.483182577685056</v>
      </c>
    </row>
    <row r="16" spans="1:18" x14ac:dyDescent="0.2">
      <c r="A16" s="36"/>
      <c r="B16" s="30" t="s">
        <v>3</v>
      </c>
      <c r="C16" s="30"/>
      <c r="D16" s="30"/>
      <c r="E16" s="7">
        <v>0.01</v>
      </c>
      <c r="F16" s="3"/>
      <c r="H16" s="36"/>
      <c r="I16" s="34" t="s">
        <v>40</v>
      </c>
      <c r="J16" s="34"/>
      <c r="K16" s="34"/>
      <c r="L16" s="34"/>
    </row>
    <row r="17" spans="1:18" x14ac:dyDescent="0.2">
      <c r="A17" s="36"/>
      <c r="B17" s="30" t="s">
        <v>14</v>
      </c>
      <c r="C17" s="30"/>
      <c r="D17" s="30"/>
      <c r="E17" s="7">
        <v>0.01</v>
      </c>
      <c r="F17" s="1" t="s">
        <v>35</v>
      </c>
      <c r="H17" s="36"/>
      <c r="I17" s="30" t="s">
        <v>19</v>
      </c>
      <c r="J17" s="30"/>
      <c r="K17" s="30"/>
      <c r="L17" s="14">
        <f>SUM(Q27:Q61)/SUM(P27:P61)</f>
        <v>2.7319478338559531</v>
      </c>
    </row>
    <row r="18" spans="1:18" x14ac:dyDescent="0.2">
      <c r="A18" s="36"/>
      <c r="B18" s="30" t="s">
        <v>4</v>
      </c>
      <c r="C18" s="30"/>
      <c r="D18" s="30"/>
      <c r="E18" s="7">
        <v>2.5000000000000001E-3</v>
      </c>
      <c r="F18" s="1" t="s">
        <v>35</v>
      </c>
      <c r="H18" s="36"/>
      <c r="I18" s="30" t="s">
        <v>20</v>
      </c>
      <c r="J18" s="30"/>
      <c r="K18" s="30"/>
      <c r="L18" s="14">
        <f>SUM(R28:R57)/(POWER(1+L10,2)*SUM(P28:P57)*POWER(E8/L4,2))</f>
        <v>10.315165453932511</v>
      </c>
    </row>
    <row r="19" spans="1:18" x14ac:dyDescent="0.2">
      <c r="A19" s="36"/>
      <c r="B19" s="30" t="s">
        <v>5</v>
      </c>
      <c r="C19" s="30"/>
      <c r="D19" s="30"/>
      <c r="E19" s="7">
        <v>4.4999999999999997E-3</v>
      </c>
      <c r="F19" s="1" t="s">
        <v>34</v>
      </c>
      <c r="H19" s="36"/>
      <c r="I19" s="30" t="s">
        <v>21</v>
      </c>
      <c r="J19" s="30"/>
      <c r="K19" s="30"/>
      <c r="L19" s="14">
        <f>L18+L17</f>
        <v>13.047113287788465</v>
      </c>
    </row>
    <row r="20" spans="1:18" x14ac:dyDescent="0.2">
      <c r="A20" s="36"/>
      <c r="B20" s="30" t="s">
        <v>15</v>
      </c>
      <c r="C20" s="30"/>
      <c r="D20" s="30"/>
      <c r="E20" s="8">
        <v>5.0000000000000001E-3</v>
      </c>
      <c r="F20" s="1" t="s">
        <v>34</v>
      </c>
      <c r="H20" s="36"/>
      <c r="I20" s="35" t="s">
        <v>22</v>
      </c>
      <c r="J20" s="35"/>
      <c r="K20" s="35"/>
      <c r="L20" s="28">
        <f>L17/(1+L10)</f>
        <v>2.672478728085073</v>
      </c>
    </row>
    <row r="21" spans="1:18" x14ac:dyDescent="0.2">
      <c r="D21" s="3"/>
      <c r="H21" s="36"/>
      <c r="I21" s="34" t="s">
        <v>61</v>
      </c>
      <c r="J21" s="34"/>
      <c r="K21" s="34"/>
      <c r="L21" s="34"/>
      <c r="M21" s="34"/>
    </row>
    <row r="22" spans="1:18" x14ac:dyDescent="0.2">
      <c r="D22" s="3"/>
      <c r="H22" s="36"/>
      <c r="I22" s="30" t="s">
        <v>26</v>
      </c>
      <c r="J22" s="30"/>
      <c r="K22" s="30"/>
      <c r="L22" s="11">
        <f>POWER(IRR(M27:M57)+1,$E$8/$L$4)-1</f>
        <v>7.2050615593946432E-2</v>
      </c>
      <c r="M22" s="11">
        <f>XIRR(M27:M57,B27:B57)</f>
        <v>7.3087033629417431E-2</v>
      </c>
    </row>
    <row r="23" spans="1:18" x14ac:dyDescent="0.2">
      <c r="D23" s="3"/>
      <c r="H23" s="36"/>
      <c r="I23" s="30" t="s">
        <v>27</v>
      </c>
      <c r="J23" s="30"/>
      <c r="K23" s="30"/>
      <c r="L23" s="12">
        <f>POWER(IRR(N27:N57)+1,$E$8/$L$4)-1</f>
        <v>4.8467646371080697E-2</v>
      </c>
      <c r="M23" s="12">
        <f>XIRR(N27:N57,B27:B57)</f>
        <v>4.9157091975212092E-2</v>
      </c>
    </row>
    <row r="24" spans="1:18" x14ac:dyDescent="0.2">
      <c r="D24" s="3"/>
      <c r="H24" s="36"/>
      <c r="I24" s="30" t="s">
        <v>28</v>
      </c>
      <c r="J24" s="30"/>
      <c r="K24" s="30"/>
      <c r="L24" s="12">
        <f>POWER(IRR(O27:O57)+1,$E$8/$L$4)-1</f>
        <v>5.9507676461478809E-2</v>
      </c>
      <c r="M24" s="12">
        <f>XIRR(O27:O57,B27:B57)</f>
        <v>6.0358628630638109E-2</v>
      </c>
    </row>
    <row r="25" spans="1:18" x14ac:dyDescent="0.2">
      <c r="A25" s="3"/>
      <c r="B25" s="3"/>
      <c r="C25" s="3"/>
      <c r="D25" s="3"/>
      <c r="E25" s="3"/>
      <c r="F25" s="3"/>
      <c r="G25" s="3"/>
      <c r="H25" s="3"/>
      <c r="I25" s="3"/>
      <c r="L25" s="3"/>
    </row>
    <row r="26" spans="1:18" ht="38.25" x14ac:dyDescent="0.2">
      <c r="A26" s="23" t="s">
        <v>6</v>
      </c>
      <c r="B26" s="23" t="s">
        <v>36</v>
      </c>
      <c r="C26" s="24" t="s">
        <v>46</v>
      </c>
      <c r="D26" s="23" t="str">
        <f>"Inflación "&amp;E7</f>
        <v>Inflación Semestral</v>
      </c>
      <c r="E26" s="24" t="s">
        <v>31</v>
      </c>
      <c r="F26" s="23" t="s">
        <v>7</v>
      </c>
      <c r="G26" s="23" t="s">
        <v>8</v>
      </c>
      <c r="H26" s="23" t="s">
        <v>9</v>
      </c>
      <c r="I26" s="23" t="s">
        <v>33</v>
      </c>
      <c r="J26" s="23" t="s">
        <v>29</v>
      </c>
      <c r="K26" s="23" t="s">
        <v>10</v>
      </c>
      <c r="L26" s="23" t="s">
        <v>11</v>
      </c>
      <c r="M26" s="23" t="s">
        <v>12</v>
      </c>
      <c r="N26" s="23" t="s">
        <v>13</v>
      </c>
      <c r="O26" s="23" t="s">
        <v>16</v>
      </c>
      <c r="P26" s="23" t="s">
        <v>25</v>
      </c>
      <c r="Q26" s="23" t="s">
        <v>23</v>
      </c>
      <c r="R26" s="23" t="s">
        <v>24</v>
      </c>
    </row>
    <row r="27" spans="1:18" x14ac:dyDescent="0.2">
      <c r="A27" s="25">
        <v>0</v>
      </c>
      <c r="B27" s="29">
        <v>41944</v>
      </c>
      <c r="C27" s="15"/>
      <c r="D27" s="16"/>
      <c r="E27" s="17"/>
      <c r="F27" s="17"/>
      <c r="G27" s="17"/>
      <c r="H27" s="18"/>
      <c r="I27" s="18"/>
      <c r="J27" s="18"/>
      <c r="K27" s="18"/>
      <c r="L27" s="18"/>
      <c r="M27" s="19">
        <f>$E$5-$L$11</f>
        <v>1026.9000000000001</v>
      </c>
      <c r="N27" s="19">
        <f>M27</f>
        <v>1026.9000000000001</v>
      </c>
      <c r="O27" s="19">
        <f>-$E$5-$L$12</f>
        <v>-1059.9749999999999</v>
      </c>
      <c r="P27" s="18"/>
      <c r="Q27" s="18"/>
      <c r="R27" s="18"/>
    </row>
    <row r="28" spans="1:18" x14ac:dyDescent="0.2">
      <c r="A28" s="25">
        <v>1</v>
      </c>
      <c r="B28" s="29">
        <f t="shared" ref="B28:B57" si="0">B27+$L$4</f>
        <v>42124</v>
      </c>
      <c r="C28" s="20">
        <v>0</v>
      </c>
      <c r="D28" s="21">
        <f t="shared" ref="D28:D57" si="1">IF(A28&lt;=$L$7,POWER(1+C28,$L$4/$E$8)-1,0)</f>
        <v>0</v>
      </c>
      <c r="E28" s="22" t="s">
        <v>32</v>
      </c>
      <c r="F28" s="19">
        <f>IF(A28=1,$E$4,IF(A28&lt;=$L$7,IF(E27="T",G27-H27,G27+J27),0))</f>
        <v>1000</v>
      </c>
      <c r="G28" s="19">
        <f t="shared" ref="G28:G57" si="2">F28*(1+D28)</f>
        <v>1000</v>
      </c>
      <c r="H28" s="19">
        <f t="shared" ref="H28:H57" si="3">-G28*$L$9</f>
        <v>-39.23048454132649</v>
      </c>
      <c r="I28" s="19">
        <f>IF(A28&lt;=L$7,IF(E28="T",0,IF(E28="P",H28,H28+J28)),0)</f>
        <v>-139.23048454132649</v>
      </c>
      <c r="J28" s="19">
        <f>IF(A28&lt;=L$7,IF(OR(E28="T",E28="P"),0,-G28/($L$7-A28+1)),0)</f>
        <v>-100</v>
      </c>
      <c r="K28" s="19">
        <f t="shared" ref="K28:K57" si="4">-IF(A28=L$7,E$16*$E$4,0)</f>
        <v>0</v>
      </c>
      <c r="L28" s="19">
        <f t="shared" ref="L28:L57" si="5">-H28*E$13</f>
        <v>11.769145362397946</v>
      </c>
      <c r="M28" s="19">
        <f t="shared" ref="M28:M57" si="6">IF(A28&lt;=L$7,I28+K28,0)</f>
        <v>-139.23048454132649</v>
      </c>
      <c r="N28" s="19">
        <f>M28+L28</f>
        <v>-127.46133917892854</v>
      </c>
      <c r="O28" s="19">
        <f>-M28</f>
        <v>139.23048454132649</v>
      </c>
      <c r="P28" s="19">
        <f t="shared" ref="P28:P57" si="7">O28/POWER(1+L$10,A28)</f>
        <v>136.19971202469591</v>
      </c>
      <c r="Q28" s="19">
        <f t="shared" ref="Q28:Q57" si="8">P28*A28*L$4/E$8</f>
        <v>68.099856012347956</v>
      </c>
      <c r="R28" s="19">
        <f t="shared" ref="R28:R57" si="9">P28*A28*(1+A28)</f>
        <v>272.39942404939183</v>
      </c>
    </row>
    <row r="29" spans="1:18" x14ac:dyDescent="0.2">
      <c r="A29" s="25">
        <v>2</v>
      </c>
      <c r="B29" s="29">
        <f t="shared" si="0"/>
        <v>42304</v>
      </c>
      <c r="C29" s="20">
        <v>0</v>
      </c>
      <c r="D29" s="21">
        <f t="shared" si="1"/>
        <v>0</v>
      </c>
      <c r="E29" s="22" t="s">
        <v>64</v>
      </c>
      <c r="F29" s="19">
        <f t="shared" ref="F29:F57" si="10">IF(A29=1,$E$4,IF(A29&lt;=$L$7,IF(E28="T",G28-H28,G28+J28),0))</f>
        <v>900</v>
      </c>
      <c r="G29" s="19">
        <f t="shared" si="2"/>
        <v>900</v>
      </c>
      <c r="H29" s="19">
        <f t="shared" si="3"/>
        <v>-35.307436087193842</v>
      </c>
      <c r="I29" s="19">
        <f>IF(A29&lt;=L$7,IF(E29="T",0,IF(E29="P",H29,H29+J29)),0)</f>
        <v>-35.307436087193842</v>
      </c>
      <c r="J29" s="19">
        <f t="shared" ref="J29:J57" si="11">IF(A29&lt;=L$7,IF(OR(E29="T",E29="P"),0,-G29/($L$7-A29+1)),0)</f>
        <v>0</v>
      </c>
      <c r="K29" s="19">
        <f t="shared" si="4"/>
        <v>0</v>
      </c>
      <c r="L29" s="19">
        <f t="shared" si="5"/>
        <v>10.592230826158152</v>
      </c>
      <c r="M29" s="19">
        <f t="shared" si="6"/>
        <v>-35.307436087193842</v>
      </c>
      <c r="N29" s="19">
        <f>M29+L29</f>
        <v>-24.715205261035692</v>
      </c>
      <c r="O29" s="19">
        <f t="shared" ref="O29:O57" si="12">-M29</f>
        <v>35.307436087193842</v>
      </c>
      <c r="P29" s="19">
        <f t="shared" si="7"/>
        <v>33.787020179132867</v>
      </c>
      <c r="Q29" s="19">
        <f t="shared" si="8"/>
        <v>33.787020179132867</v>
      </c>
      <c r="R29" s="19">
        <f t="shared" si="9"/>
        <v>202.7221210747972</v>
      </c>
    </row>
    <row r="30" spans="1:18" x14ac:dyDescent="0.2">
      <c r="A30" s="25">
        <v>3</v>
      </c>
      <c r="B30" s="29">
        <f t="shared" si="0"/>
        <v>42484</v>
      </c>
      <c r="C30" s="20">
        <v>0</v>
      </c>
      <c r="D30" s="21">
        <f t="shared" si="1"/>
        <v>0</v>
      </c>
      <c r="E30" s="22" t="s">
        <v>32</v>
      </c>
      <c r="F30" s="19">
        <f t="shared" si="10"/>
        <v>900</v>
      </c>
      <c r="G30" s="19">
        <f t="shared" si="2"/>
        <v>900</v>
      </c>
      <c r="H30" s="19">
        <f t="shared" si="3"/>
        <v>-35.307436087193842</v>
      </c>
      <c r="I30" s="19">
        <f t="shared" ref="I30:I57" si="13">IF(A30&lt;=L$7,IF(E30="T",0,IF(E30="P",H30,H30+J30)),0)</f>
        <v>-147.80743608719385</v>
      </c>
      <c r="J30" s="19">
        <f t="shared" si="11"/>
        <v>-112.5</v>
      </c>
      <c r="K30" s="19">
        <f t="shared" si="4"/>
        <v>0</v>
      </c>
      <c r="L30" s="19">
        <f t="shared" si="5"/>
        <v>10.592230826158152</v>
      </c>
      <c r="M30" s="19">
        <f t="shared" si="6"/>
        <v>-147.80743608719385</v>
      </c>
      <c r="N30" s="19">
        <f>M30+L30</f>
        <v>-137.21520526103569</v>
      </c>
      <c r="O30" s="19">
        <f t="shared" si="12"/>
        <v>147.80743608719385</v>
      </c>
      <c r="P30" s="19">
        <f t="shared" si="7"/>
        <v>138.36359835811453</v>
      </c>
      <c r="Q30" s="19">
        <f t="shared" si="8"/>
        <v>207.54539753717182</v>
      </c>
      <c r="R30" s="19">
        <f t="shared" si="9"/>
        <v>1660.3631802973744</v>
      </c>
    </row>
    <row r="31" spans="1:18" x14ac:dyDescent="0.2">
      <c r="A31" s="25">
        <v>4</v>
      </c>
      <c r="B31" s="29">
        <f t="shared" si="0"/>
        <v>42664</v>
      </c>
      <c r="C31" s="20">
        <v>0</v>
      </c>
      <c r="D31" s="21">
        <f t="shared" si="1"/>
        <v>0</v>
      </c>
      <c r="E31" s="22" t="s">
        <v>32</v>
      </c>
      <c r="F31" s="19">
        <f t="shared" si="10"/>
        <v>787.5</v>
      </c>
      <c r="G31" s="19">
        <f t="shared" si="2"/>
        <v>787.5</v>
      </c>
      <c r="H31" s="19">
        <f t="shared" si="3"/>
        <v>-30.894006576294615</v>
      </c>
      <c r="I31" s="19">
        <f t="shared" si="13"/>
        <v>-143.3940065762946</v>
      </c>
      <c r="J31" s="19">
        <f t="shared" si="11"/>
        <v>-112.5</v>
      </c>
      <c r="K31" s="19">
        <f t="shared" si="4"/>
        <v>0</v>
      </c>
      <c r="L31" s="19">
        <f t="shared" si="5"/>
        <v>9.2682019728883844</v>
      </c>
      <c r="M31" s="19">
        <f t="shared" si="6"/>
        <v>-143.3940065762946</v>
      </c>
      <c r="N31" s="19">
        <f>M31+L31</f>
        <v>-134.12580460340621</v>
      </c>
      <c r="O31" s="19">
        <f t="shared" si="12"/>
        <v>143.3940065762946</v>
      </c>
      <c r="P31" s="19">
        <f t="shared" si="7"/>
        <v>131.31018664984285</v>
      </c>
      <c r="Q31" s="19">
        <f t="shared" si="8"/>
        <v>262.6203732996857</v>
      </c>
      <c r="R31" s="19">
        <f t="shared" si="9"/>
        <v>2626.2037329968571</v>
      </c>
    </row>
    <row r="32" spans="1:18" x14ac:dyDescent="0.2">
      <c r="A32" s="25">
        <v>5</v>
      </c>
      <c r="B32" s="29">
        <f t="shared" si="0"/>
        <v>42844</v>
      </c>
      <c r="C32" s="20">
        <v>0</v>
      </c>
      <c r="D32" s="21">
        <f t="shared" si="1"/>
        <v>0</v>
      </c>
      <c r="E32" s="22" t="s">
        <v>32</v>
      </c>
      <c r="F32" s="19">
        <f t="shared" si="10"/>
        <v>675</v>
      </c>
      <c r="G32" s="19">
        <f t="shared" si="2"/>
        <v>675</v>
      </c>
      <c r="H32" s="19">
        <f t="shared" si="3"/>
        <v>-26.480577065395384</v>
      </c>
      <c r="I32" s="19">
        <f t="shared" si="13"/>
        <v>-138.98057706539538</v>
      </c>
      <c r="J32" s="19">
        <f t="shared" si="11"/>
        <v>-112.5</v>
      </c>
      <c r="K32" s="19">
        <f t="shared" si="4"/>
        <v>0</v>
      </c>
      <c r="L32" s="19">
        <f t="shared" si="5"/>
        <v>7.9441731196186147</v>
      </c>
      <c r="M32" s="19">
        <f t="shared" si="6"/>
        <v>-138.98057706539538</v>
      </c>
      <c r="N32" s="19">
        <f t="shared" ref="N32:N57" si="14">M32+L32</f>
        <v>-131.03640394577675</v>
      </c>
      <c r="O32" s="19">
        <f t="shared" si="12"/>
        <v>138.98057706539538</v>
      </c>
      <c r="P32" s="19">
        <f t="shared" si="7"/>
        <v>124.49828945369973</v>
      </c>
      <c r="Q32" s="19">
        <f t="shared" si="8"/>
        <v>311.24572363424932</v>
      </c>
      <c r="R32" s="19">
        <f t="shared" si="9"/>
        <v>3734.9486836109918</v>
      </c>
    </row>
    <row r="33" spans="1:18" x14ac:dyDescent="0.2">
      <c r="A33" s="25">
        <v>6</v>
      </c>
      <c r="B33" s="29">
        <f t="shared" si="0"/>
        <v>43024</v>
      </c>
      <c r="C33" s="20">
        <v>0</v>
      </c>
      <c r="D33" s="21">
        <f t="shared" si="1"/>
        <v>0</v>
      </c>
      <c r="E33" s="22" t="s">
        <v>32</v>
      </c>
      <c r="F33" s="19">
        <f t="shared" si="10"/>
        <v>562.5</v>
      </c>
      <c r="G33" s="19">
        <f t="shared" si="2"/>
        <v>562.5</v>
      </c>
      <c r="H33" s="19">
        <f t="shared" si="3"/>
        <v>-22.067147554496152</v>
      </c>
      <c r="I33" s="19">
        <f t="shared" si="13"/>
        <v>-134.56714755449616</v>
      </c>
      <c r="J33" s="19">
        <f t="shared" si="11"/>
        <v>-112.5</v>
      </c>
      <c r="K33" s="19">
        <f t="shared" si="4"/>
        <v>0</v>
      </c>
      <c r="L33" s="19">
        <f t="shared" si="5"/>
        <v>6.6201442663488459</v>
      </c>
      <c r="M33" s="19">
        <f t="shared" si="6"/>
        <v>-134.56714755449616</v>
      </c>
      <c r="N33" s="19">
        <f t="shared" si="14"/>
        <v>-127.94700328814731</v>
      </c>
      <c r="O33" s="19">
        <f>-M33</f>
        <v>134.56714755449616</v>
      </c>
      <c r="P33" s="19">
        <f t="shared" si="7"/>
        <v>117.92073441936088</v>
      </c>
      <c r="Q33" s="19">
        <f t="shared" si="8"/>
        <v>353.76220325808265</v>
      </c>
      <c r="R33" s="19">
        <f t="shared" si="9"/>
        <v>4952.6708456131573</v>
      </c>
    </row>
    <row r="34" spans="1:18" x14ac:dyDescent="0.2">
      <c r="A34" s="25">
        <v>7</v>
      </c>
      <c r="B34" s="29">
        <f t="shared" si="0"/>
        <v>43204</v>
      </c>
      <c r="C34" s="20">
        <v>0</v>
      </c>
      <c r="D34" s="21">
        <f t="shared" si="1"/>
        <v>0</v>
      </c>
      <c r="E34" s="22" t="s">
        <v>32</v>
      </c>
      <c r="F34" s="19">
        <f t="shared" si="10"/>
        <v>450</v>
      </c>
      <c r="G34" s="19">
        <f t="shared" si="2"/>
        <v>450</v>
      </c>
      <c r="H34" s="19">
        <f t="shared" si="3"/>
        <v>-17.653718043596921</v>
      </c>
      <c r="I34" s="19">
        <f t="shared" si="13"/>
        <v>-130.15371804359691</v>
      </c>
      <c r="J34" s="19">
        <f t="shared" si="11"/>
        <v>-112.5</v>
      </c>
      <c r="K34" s="19">
        <f t="shared" si="4"/>
        <v>0</v>
      </c>
      <c r="L34" s="19">
        <f t="shared" si="5"/>
        <v>5.2961154130790762</v>
      </c>
      <c r="M34" s="19">
        <f t="shared" si="6"/>
        <v>-130.15371804359691</v>
      </c>
      <c r="N34" s="19">
        <f t="shared" si="14"/>
        <v>-124.85760263051783</v>
      </c>
      <c r="O34" s="19">
        <f t="shared" si="12"/>
        <v>130.15371804359691</v>
      </c>
      <c r="P34" s="19">
        <f t="shared" si="7"/>
        <v>111.57054701139432</v>
      </c>
      <c r="Q34" s="19">
        <f t="shared" si="8"/>
        <v>390.49691453988009</v>
      </c>
      <c r="R34" s="19">
        <f t="shared" si="9"/>
        <v>6247.9506326380824</v>
      </c>
    </row>
    <row r="35" spans="1:18" x14ac:dyDescent="0.2">
      <c r="A35" s="25">
        <v>8</v>
      </c>
      <c r="B35" s="29">
        <f t="shared" si="0"/>
        <v>43384</v>
      </c>
      <c r="C35" s="20">
        <v>0</v>
      </c>
      <c r="D35" s="21">
        <f t="shared" si="1"/>
        <v>0</v>
      </c>
      <c r="E35" s="22" t="s">
        <v>32</v>
      </c>
      <c r="F35" s="19">
        <f t="shared" si="10"/>
        <v>337.5</v>
      </c>
      <c r="G35" s="19">
        <f t="shared" si="2"/>
        <v>337.5</v>
      </c>
      <c r="H35" s="19">
        <f t="shared" si="3"/>
        <v>-13.240288532697692</v>
      </c>
      <c r="I35" s="19">
        <f t="shared" si="13"/>
        <v>-125.74028853269769</v>
      </c>
      <c r="J35" s="19">
        <f t="shared" si="11"/>
        <v>-112.5</v>
      </c>
      <c r="K35" s="19">
        <f t="shared" si="4"/>
        <v>0</v>
      </c>
      <c r="L35" s="19">
        <f t="shared" si="5"/>
        <v>3.9720865598093074</v>
      </c>
      <c r="M35" s="19">
        <f t="shared" si="6"/>
        <v>-125.74028853269769</v>
      </c>
      <c r="N35" s="19">
        <f t="shared" si="14"/>
        <v>-121.76820197288838</v>
      </c>
      <c r="O35" s="19">
        <f t="shared" si="12"/>
        <v>125.74028853269769</v>
      </c>
      <c r="P35" s="19">
        <f t="shared" si="7"/>
        <v>105.44094529577748</v>
      </c>
      <c r="Q35" s="19">
        <f t="shared" si="8"/>
        <v>421.76378118310993</v>
      </c>
      <c r="R35" s="19">
        <f t="shared" si="9"/>
        <v>7591.7480612959789</v>
      </c>
    </row>
    <row r="36" spans="1:18" x14ac:dyDescent="0.2">
      <c r="A36" s="25">
        <v>9</v>
      </c>
      <c r="B36" s="29">
        <f t="shared" si="0"/>
        <v>43564</v>
      </c>
      <c r="C36" s="20">
        <v>0</v>
      </c>
      <c r="D36" s="21">
        <f t="shared" si="1"/>
        <v>0</v>
      </c>
      <c r="E36" s="22" t="s">
        <v>32</v>
      </c>
      <c r="F36" s="19">
        <f t="shared" si="10"/>
        <v>225</v>
      </c>
      <c r="G36" s="19">
        <f t="shared" si="2"/>
        <v>225</v>
      </c>
      <c r="H36" s="19">
        <f t="shared" si="3"/>
        <v>-8.8268590217984606</v>
      </c>
      <c r="I36" s="19">
        <f t="shared" si="13"/>
        <v>-121.32685902179846</v>
      </c>
      <c r="J36" s="19">
        <f t="shared" si="11"/>
        <v>-112.5</v>
      </c>
      <c r="K36" s="19">
        <f t="shared" si="4"/>
        <v>0</v>
      </c>
      <c r="L36" s="19">
        <f t="shared" si="5"/>
        <v>2.6480577065395381</v>
      </c>
      <c r="M36" s="19">
        <f t="shared" si="6"/>
        <v>-121.32685902179846</v>
      </c>
      <c r="N36" s="19">
        <f t="shared" si="14"/>
        <v>-118.67880131525892</v>
      </c>
      <c r="O36" s="19">
        <f t="shared" si="12"/>
        <v>121.32685902179846</v>
      </c>
      <c r="P36" s="19">
        <f t="shared" si="7"/>
        <v>99.525334859654706</v>
      </c>
      <c r="Q36" s="19">
        <f t="shared" si="8"/>
        <v>447.86400686844615</v>
      </c>
      <c r="R36" s="19">
        <f t="shared" si="9"/>
        <v>8957.2801373689235</v>
      </c>
    </row>
    <row r="37" spans="1:18" x14ac:dyDescent="0.2">
      <c r="A37" s="25">
        <v>10</v>
      </c>
      <c r="B37" s="29">
        <f t="shared" si="0"/>
        <v>43744</v>
      </c>
      <c r="C37" s="20">
        <v>0</v>
      </c>
      <c r="D37" s="21">
        <f t="shared" si="1"/>
        <v>0</v>
      </c>
      <c r="E37" s="22" t="s">
        <v>32</v>
      </c>
      <c r="F37" s="19">
        <f t="shared" si="10"/>
        <v>112.5</v>
      </c>
      <c r="G37" s="19">
        <f t="shared" si="2"/>
        <v>112.5</v>
      </c>
      <c r="H37" s="19">
        <f t="shared" si="3"/>
        <v>-4.4134295108992303</v>
      </c>
      <c r="I37" s="19">
        <f t="shared" si="13"/>
        <v>-116.91342951089923</v>
      </c>
      <c r="J37" s="19">
        <f t="shared" si="11"/>
        <v>-112.5</v>
      </c>
      <c r="K37" s="19">
        <f t="shared" si="4"/>
        <v>-10</v>
      </c>
      <c r="L37" s="19">
        <f t="shared" si="5"/>
        <v>1.324028853269769</v>
      </c>
      <c r="M37" s="19">
        <f t="shared" si="6"/>
        <v>-126.91342951089923</v>
      </c>
      <c r="N37" s="19">
        <f t="shared" si="14"/>
        <v>-125.58940065762947</v>
      </c>
      <c r="O37" s="19">
        <f t="shared" si="12"/>
        <v>126.91342951089923</v>
      </c>
      <c r="P37" s="19">
        <f t="shared" si="7"/>
        <v>101.8418143260119</v>
      </c>
      <c r="Q37" s="19">
        <f t="shared" si="8"/>
        <v>509.20907163005955</v>
      </c>
      <c r="R37" s="19">
        <f t="shared" si="9"/>
        <v>11202.59957586131</v>
      </c>
    </row>
    <row r="38" spans="1:18" x14ac:dyDescent="0.2">
      <c r="A38" s="25">
        <v>11</v>
      </c>
      <c r="B38" s="29">
        <f t="shared" si="0"/>
        <v>43924</v>
      </c>
      <c r="C38" s="20">
        <v>0</v>
      </c>
      <c r="D38" s="21">
        <f t="shared" si="1"/>
        <v>0</v>
      </c>
      <c r="E38" s="22" t="s">
        <v>32</v>
      </c>
      <c r="F38" s="19">
        <f t="shared" si="10"/>
        <v>0</v>
      </c>
      <c r="G38" s="19">
        <f t="shared" si="2"/>
        <v>0</v>
      </c>
      <c r="H38" s="19">
        <f t="shared" si="3"/>
        <v>0</v>
      </c>
      <c r="I38" s="19">
        <f t="shared" si="13"/>
        <v>0</v>
      </c>
      <c r="J38" s="19">
        <f t="shared" si="11"/>
        <v>0</v>
      </c>
      <c r="K38" s="19">
        <f t="shared" si="4"/>
        <v>0</v>
      </c>
      <c r="L38" s="19">
        <f t="shared" si="5"/>
        <v>0</v>
      </c>
      <c r="M38" s="19">
        <f t="shared" si="6"/>
        <v>0</v>
      </c>
      <c r="N38" s="19">
        <f t="shared" si="14"/>
        <v>0</v>
      </c>
      <c r="O38" s="19">
        <f t="shared" si="12"/>
        <v>0</v>
      </c>
      <c r="P38" s="19">
        <f t="shared" si="7"/>
        <v>0</v>
      </c>
      <c r="Q38" s="19">
        <f t="shared" si="8"/>
        <v>0</v>
      </c>
      <c r="R38" s="19">
        <f t="shared" si="9"/>
        <v>0</v>
      </c>
    </row>
    <row r="39" spans="1:18" x14ac:dyDescent="0.2">
      <c r="A39" s="25">
        <v>12</v>
      </c>
      <c r="B39" s="29">
        <f t="shared" si="0"/>
        <v>44104</v>
      </c>
      <c r="C39" s="20">
        <v>0</v>
      </c>
      <c r="D39" s="21">
        <f t="shared" si="1"/>
        <v>0</v>
      </c>
      <c r="E39" s="22" t="s">
        <v>32</v>
      </c>
      <c r="F39" s="19">
        <f t="shared" si="10"/>
        <v>0</v>
      </c>
      <c r="G39" s="19">
        <f t="shared" si="2"/>
        <v>0</v>
      </c>
      <c r="H39" s="19">
        <f t="shared" si="3"/>
        <v>0</v>
      </c>
      <c r="I39" s="19">
        <f t="shared" si="13"/>
        <v>0</v>
      </c>
      <c r="J39" s="19">
        <f t="shared" si="11"/>
        <v>0</v>
      </c>
      <c r="K39" s="19">
        <f t="shared" si="4"/>
        <v>0</v>
      </c>
      <c r="L39" s="19">
        <f t="shared" si="5"/>
        <v>0</v>
      </c>
      <c r="M39" s="19">
        <f t="shared" si="6"/>
        <v>0</v>
      </c>
      <c r="N39" s="19">
        <f t="shared" si="14"/>
        <v>0</v>
      </c>
      <c r="O39" s="19">
        <f t="shared" si="12"/>
        <v>0</v>
      </c>
      <c r="P39" s="19">
        <f t="shared" si="7"/>
        <v>0</v>
      </c>
      <c r="Q39" s="19">
        <f t="shared" si="8"/>
        <v>0</v>
      </c>
      <c r="R39" s="19">
        <f t="shared" si="9"/>
        <v>0</v>
      </c>
    </row>
    <row r="40" spans="1:18" x14ac:dyDescent="0.2">
      <c r="A40" s="25">
        <v>13</v>
      </c>
      <c r="B40" s="29">
        <f t="shared" si="0"/>
        <v>44284</v>
      </c>
      <c r="C40" s="20">
        <v>0</v>
      </c>
      <c r="D40" s="21">
        <f t="shared" si="1"/>
        <v>0</v>
      </c>
      <c r="E40" s="22" t="s">
        <v>32</v>
      </c>
      <c r="F40" s="19">
        <f t="shared" si="10"/>
        <v>0</v>
      </c>
      <c r="G40" s="19">
        <f t="shared" si="2"/>
        <v>0</v>
      </c>
      <c r="H40" s="19">
        <f t="shared" si="3"/>
        <v>0</v>
      </c>
      <c r="I40" s="19">
        <f t="shared" si="13"/>
        <v>0</v>
      </c>
      <c r="J40" s="19">
        <f t="shared" si="11"/>
        <v>0</v>
      </c>
      <c r="K40" s="19">
        <f t="shared" si="4"/>
        <v>0</v>
      </c>
      <c r="L40" s="19">
        <f t="shared" si="5"/>
        <v>0</v>
      </c>
      <c r="M40" s="19">
        <f t="shared" si="6"/>
        <v>0</v>
      </c>
      <c r="N40" s="19">
        <f t="shared" si="14"/>
        <v>0</v>
      </c>
      <c r="O40" s="19">
        <f t="shared" si="12"/>
        <v>0</v>
      </c>
      <c r="P40" s="19">
        <f t="shared" si="7"/>
        <v>0</v>
      </c>
      <c r="Q40" s="19">
        <f t="shared" si="8"/>
        <v>0</v>
      </c>
      <c r="R40" s="19">
        <f t="shared" si="9"/>
        <v>0</v>
      </c>
    </row>
    <row r="41" spans="1:18" x14ac:dyDescent="0.2">
      <c r="A41" s="25">
        <v>14</v>
      </c>
      <c r="B41" s="29">
        <f t="shared" si="0"/>
        <v>44464</v>
      </c>
      <c r="C41" s="20">
        <v>0</v>
      </c>
      <c r="D41" s="21">
        <f t="shared" si="1"/>
        <v>0</v>
      </c>
      <c r="E41" s="22" t="s">
        <v>32</v>
      </c>
      <c r="F41" s="19">
        <f t="shared" si="10"/>
        <v>0</v>
      </c>
      <c r="G41" s="19">
        <f t="shared" si="2"/>
        <v>0</v>
      </c>
      <c r="H41" s="19">
        <f t="shared" si="3"/>
        <v>0</v>
      </c>
      <c r="I41" s="19">
        <f t="shared" si="13"/>
        <v>0</v>
      </c>
      <c r="J41" s="19">
        <f t="shared" si="11"/>
        <v>0</v>
      </c>
      <c r="K41" s="19">
        <f t="shared" si="4"/>
        <v>0</v>
      </c>
      <c r="L41" s="19">
        <f t="shared" si="5"/>
        <v>0</v>
      </c>
      <c r="M41" s="19">
        <f t="shared" si="6"/>
        <v>0</v>
      </c>
      <c r="N41" s="19">
        <f t="shared" si="14"/>
        <v>0</v>
      </c>
      <c r="O41" s="19">
        <f t="shared" si="12"/>
        <v>0</v>
      </c>
      <c r="P41" s="19">
        <f t="shared" si="7"/>
        <v>0</v>
      </c>
      <c r="Q41" s="19">
        <f t="shared" si="8"/>
        <v>0</v>
      </c>
      <c r="R41" s="19">
        <f t="shared" si="9"/>
        <v>0</v>
      </c>
    </row>
    <row r="42" spans="1:18" x14ac:dyDescent="0.2">
      <c r="A42" s="25">
        <v>15</v>
      </c>
      <c r="B42" s="29">
        <f t="shared" si="0"/>
        <v>44644</v>
      </c>
      <c r="C42" s="20">
        <v>0</v>
      </c>
      <c r="D42" s="21">
        <f t="shared" si="1"/>
        <v>0</v>
      </c>
      <c r="E42" s="22" t="s">
        <v>32</v>
      </c>
      <c r="F42" s="19">
        <f t="shared" si="10"/>
        <v>0</v>
      </c>
      <c r="G42" s="19">
        <f t="shared" si="2"/>
        <v>0</v>
      </c>
      <c r="H42" s="19">
        <f t="shared" si="3"/>
        <v>0</v>
      </c>
      <c r="I42" s="19">
        <f t="shared" si="13"/>
        <v>0</v>
      </c>
      <c r="J42" s="19">
        <f t="shared" si="11"/>
        <v>0</v>
      </c>
      <c r="K42" s="19">
        <f t="shared" si="4"/>
        <v>0</v>
      </c>
      <c r="L42" s="19">
        <f t="shared" si="5"/>
        <v>0</v>
      </c>
      <c r="M42" s="19">
        <f t="shared" si="6"/>
        <v>0</v>
      </c>
      <c r="N42" s="19">
        <f t="shared" si="14"/>
        <v>0</v>
      </c>
      <c r="O42" s="19">
        <f t="shared" si="12"/>
        <v>0</v>
      </c>
      <c r="P42" s="19">
        <f t="shared" si="7"/>
        <v>0</v>
      </c>
      <c r="Q42" s="19">
        <f t="shared" si="8"/>
        <v>0</v>
      </c>
      <c r="R42" s="19">
        <f t="shared" si="9"/>
        <v>0</v>
      </c>
    </row>
    <row r="43" spans="1:18" x14ac:dyDescent="0.2">
      <c r="A43" s="25">
        <v>16</v>
      </c>
      <c r="B43" s="29">
        <f t="shared" si="0"/>
        <v>44824</v>
      </c>
      <c r="C43" s="20">
        <v>0</v>
      </c>
      <c r="D43" s="21">
        <f t="shared" si="1"/>
        <v>0</v>
      </c>
      <c r="E43" s="22" t="s">
        <v>32</v>
      </c>
      <c r="F43" s="19">
        <f t="shared" si="10"/>
        <v>0</v>
      </c>
      <c r="G43" s="19">
        <f t="shared" si="2"/>
        <v>0</v>
      </c>
      <c r="H43" s="19">
        <f t="shared" si="3"/>
        <v>0</v>
      </c>
      <c r="I43" s="19">
        <f t="shared" si="13"/>
        <v>0</v>
      </c>
      <c r="J43" s="19">
        <f t="shared" si="11"/>
        <v>0</v>
      </c>
      <c r="K43" s="19">
        <f t="shared" si="4"/>
        <v>0</v>
      </c>
      <c r="L43" s="19">
        <f t="shared" si="5"/>
        <v>0</v>
      </c>
      <c r="M43" s="19">
        <f t="shared" si="6"/>
        <v>0</v>
      </c>
      <c r="N43" s="19">
        <f t="shared" si="14"/>
        <v>0</v>
      </c>
      <c r="O43" s="19">
        <f t="shared" si="12"/>
        <v>0</v>
      </c>
      <c r="P43" s="19">
        <f t="shared" si="7"/>
        <v>0</v>
      </c>
      <c r="Q43" s="19">
        <f t="shared" si="8"/>
        <v>0</v>
      </c>
      <c r="R43" s="19">
        <f t="shared" si="9"/>
        <v>0</v>
      </c>
    </row>
    <row r="44" spans="1:18" x14ac:dyDescent="0.2">
      <c r="A44" s="25">
        <v>17</v>
      </c>
      <c r="B44" s="29">
        <f t="shared" si="0"/>
        <v>45004</v>
      </c>
      <c r="C44" s="20">
        <v>0</v>
      </c>
      <c r="D44" s="21">
        <f t="shared" si="1"/>
        <v>0</v>
      </c>
      <c r="E44" s="22" t="s">
        <v>32</v>
      </c>
      <c r="F44" s="19">
        <f t="shared" si="10"/>
        <v>0</v>
      </c>
      <c r="G44" s="19">
        <f t="shared" si="2"/>
        <v>0</v>
      </c>
      <c r="H44" s="19">
        <f t="shared" si="3"/>
        <v>0</v>
      </c>
      <c r="I44" s="19">
        <f t="shared" si="13"/>
        <v>0</v>
      </c>
      <c r="J44" s="19">
        <f t="shared" si="11"/>
        <v>0</v>
      </c>
      <c r="K44" s="19">
        <f t="shared" si="4"/>
        <v>0</v>
      </c>
      <c r="L44" s="19">
        <f t="shared" si="5"/>
        <v>0</v>
      </c>
      <c r="M44" s="19">
        <f t="shared" si="6"/>
        <v>0</v>
      </c>
      <c r="N44" s="19">
        <f t="shared" si="14"/>
        <v>0</v>
      </c>
      <c r="O44" s="19">
        <f t="shared" si="12"/>
        <v>0</v>
      </c>
      <c r="P44" s="19">
        <f t="shared" si="7"/>
        <v>0</v>
      </c>
      <c r="Q44" s="19">
        <f t="shared" si="8"/>
        <v>0</v>
      </c>
      <c r="R44" s="19">
        <f t="shared" si="9"/>
        <v>0</v>
      </c>
    </row>
    <row r="45" spans="1:18" x14ac:dyDescent="0.2">
      <c r="A45" s="25">
        <v>18</v>
      </c>
      <c r="B45" s="29">
        <f t="shared" si="0"/>
        <v>45184</v>
      </c>
      <c r="C45" s="20">
        <v>0</v>
      </c>
      <c r="D45" s="21">
        <f t="shared" si="1"/>
        <v>0</v>
      </c>
      <c r="E45" s="22" t="s">
        <v>32</v>
      </c>
      <c r="F45" s="19">
        <f t="shared" si="10"/>
        <v>0</v>
      </c>
      <c r="G45" s="19">
        <f t="shared" si="2"/>
        <v>0</v>
      </c>
      <c r="H45" s="19">
        <f t="shared" si="3"/>
        <v>0</v>
      </c>
      <c r="I45" s="19">
        <f t="shared" si="13"/>
        <v>0</v>
      </c>
      <c r="J45" s="19">
        <f t="shared" si="11"/>
        <v>0</v>
      </c>
      <c r="K45" s="19">
        <f t="shared" si="4"/>
        <v>0</v>
      </c>
      <c r="L45" s="19">
        <f t="shared" si="5"/>
        <v>0</v>
      </c>
      <c r="M45" s="19">
        <f t="shared" si="6"/>
        <v>0</v>
      </c>
      <c r="N45" s="19">
        <f t="shared" si="14"/>
        <v>0</v>
      </c>
      <c r="O45" s="19">
        <f t="shared" si="12"/>
        <v>0</v>
      </c>
      <c r="P45" s="19">
        <f t="shared" si="7"/>
        <v>0</v>
      </c>
      <c r="Q45" s="19">
        <f t="shared" si="8"/>
        <v>0</v>
      </c>
      <c r="R45" s="19">
        <f t="shared" si="9"/>
        <v>0</v>
      </c>
    </row>
    <row r="46" spans="1:18" x14ac:dyDescent="0.2">
      <c r="A46" s="25">
        <v>19</v>
      </c>
      <c r="B46" s="29">
        <f t="shared" si="0"/>
        <v>45364</v>
      </c>
      <c r="C46" s="20">
        <v>0</v>
      </c>
      <c r="D46" s="21">
        <f t="shared" si="1"/>
        <v>0</v>
      </c>
      <c r="E46" s="22" t="s">
        <v>32</v>
      </c>
      <c r="F46" s="19">
        <f t="shared" si="10"/>
        <v>0</v>
      </c>
      <c r="G46" s="19">
        <f t="shared" si="2"/>
        <v>0</v>
      </c>
      <c r="H46" s="19">
        <f t="shared" si="3"/>
        <v>0</v>
      </c>
      <c r="I46" s="19">
        <f t="shared" si="13"/>
        <v>0</v>
      </c>
      <c r="J46" s="19">
        <f t="shared" si="11"/>
        <v>0</v>
      </c>
      <c r="K46" s="19">
        <f t="shared" si="4"/>
        <v>0</v>
      </c>
      <c r="L46" s="19">
        <f t="shared" si="5"/>
        <v>0</v>
      </c>
      <c r="M46" s="19">
        <f t="shared" si="6"/>
        <v>0</v>
      </c>
      <c r="N46" s="19">
        <f t="shared" si="14"/>
        <v>0</v>
      </c>
      <c r="O46" s="19">
        <f t="shared" si="12"/>
        <v>0</v>
      </c>
      <c r="P46" s="19">
        <f t="shared" si="7"/>
        <v>0</v>
      </c>
      <c r="Q46" s="19">
        <f t="shared" si="8"/>
        <v>0</v>
      </c>
      <c r="R46" s="19">
        <f t="shared" si="9"/>
        <v>0</v>
      </c>
    </row>
    <row r="47" spans="1:18" x14ac:dyDescent="0.2">
      <c r="A47" s="25">
        <v>20</v>
      </c>
      <c r="B47" s="29">
        <f t="shared" si="0"/>
        <v>45544</v>
      </c>
      <c r="C47" s="20">
        <v>0</v>
      </c>
      <c r="D47" s="21">
        <f t="shared" si="1"/>
        <v>0</v>
      </c>
      <c r="E47" s="22" t="s">
        <v>32</v>
      </c>
      <c r="F47" s="19">
        <f t="shared" si="10"/>
        <v>0</v>
      </c>
      <c r="G47" s="19">
        <f t="shared" si="2"/>
        <v>0</v>
      </c>
      <c r="H47" s="19">
        <f t="shared" si="3"/>
        <v>0</v>
      </c>
      <c r="I47" s="19">
        <f t="shared" si="13"/>
        <v>0</v>
      </c>
      <c r="J47" s="19">
        <f t="shared" si="11"/>
        <v>0</v>
      </c>
      <c r="K47" s="19">
        <f t="shared" si="4"/>
        <v>0</v>
      </c>
      <c r="L47" s="19">
        <f t="shared" si="5"/>
        <v>0</v>
      </c>
      <c r="M47" s="19">
        <f t="shared" si="6"/>
        <v>0</v>
      </c>
      <c r="N47" s="19">
        <f t="shared" si="14"/>
        <v>0</v>
      </c>
      <c r="O47" s="19">
        <f t="shared" si="12"/>
        <v>0</v>
      </c>
      <c r="P47" s="19">
        <f t="shared" si="7"/>
        <v>0</v>
      </c>
      <c r="Q47" s="19">
        <f t="shared" si="8"/>
        <v>0</v>
      </c>
      <c r="R47" s="19">
        <f t="shared" si="9"/>
        <v>0</v>
      </c>
    </row>
    <row r="48" spans="1:18" x14ac:dyDescent="0.2">
      <c r="A48" s="25">
        <v>21</v>
      </c>
      <c r="B48" s="29">
        <f t="shared" si="0"/>
        <v>45724</v>
      </c>
      <c r="C48" s="20">
        <v>0</v>
      </c>
      <c r="D48" s="21">
        <f t="shared" si="1"/>
        <v>0</v>
      </c>
      <c r="E48" s="22" t="s">
        <v>32</v>
      </c>
      <c r="F48" s="19">
        <f t="shared" si="10"/>
        <v>0</v>
      </c>
      <c r="G48" s="19">
        <f t="shared" si="2"/>
        <v>0</v>
      </c>
      <c r="H48" s="19">
        <f t="shared" si="3"/>
        <v>0</v>
      </c>
      <c r="I48" s="19">
        <f t="shared" si="13"/>
        <v>0</v>
      </c>
      <c r="J48" s="19">
        <f t="shared" si="11"/>
        <v>0</v>
      </c>
      <c r="K48" s="19">
        <f t="shared" si="4"/>
        <v>0</v>
      </c>
      <c r="L48" s="19">
        <f t="shared" si="5"/>
        <v>0</v>
      </c>
      <c r="M48" s="19">
        <f t="shared" si="6"/>
        <v>0</v>
      </c>
      <c r="N48" s="19">
        <f t="shared" si="14"/>
        <v>0</v>
      </c>
      <c r="O48" s="19">
        <f t="shared" si="12"/>
        <v>0</v>
      </c>
      <c r="P48" s="19">
        <f t="shared" si="7"/>
        <v>0</v>
      </c>
      <c r="Q48" s="19">
        <f t="shared" si="8"/>
        <v>0</v>
      </c>
      <c r="R48" s="19">
        <f t="shared" si="9"/>
        <v>0</v>
      </c>
    </row>
    <row r="49" spans="1:18" x14ac:dyDescent="0.2">
      <c r="A49" s="25">
        <v>22</v>
      </c>
      <c r="B49" s="29">
        <f t="shared" si="0"/>
        <v>45904</v>
      </c>
      <c r="C49" s="20">
        <v>0</v>
      </c>
      <c r="D49" s="21">
        <f t="shared" si="1"/>
        <v>0</v>
      </c>
      <c r="E49" s="22" t="s">
        <v>32</v>
      </c>
      <c r="F49" s="19">
        <f t="shared" si="10"/>
        <v>0</v>
      </c>
      <c r="G49" s="19">
        <f t="shared" si="2"/>
        <v>0</v>
      </c>
      <c r="H49" s="19">
        <f t="shared" si="3"/>
        <v>0</v>
      </c>
      <c r="I49" s="19">
        <f t="shared" si="13"/>
        <v>0</v>
      </c>
      <c r="J49" s="19">
        <f t="shared" si="11"/>
        <v>0</v>
      </c>
      <c r="K49" s="19">
        <f t="shared" si="4"/>
        <v>0</v>
      </c>
      <c r="L49" s="19">
        <f t="shared" si="5"/>
        <v>0</v>
      </c>
      <c r="M49" s="19">
        <f t="shared" si="6"/>
        <v>0</v>
      </c>
      <c r="N49" s="19">
        <f t="shared" si="14"/>
        <v>0</v>
      </c>
      <c r="O49" s="19">
        <f t="shared" si="12"/>
        <v>0</v>
      </c>
      <c r="P49" s="19">
        <f t="shared" si="7"/>
        <v>0</v>
      </c>
      <c r="Q49" s="19">
        <f t="shared" si="8"/>
        <v>0</v>
      </c>
      <c r="R49" s="19">
        <f t="shared" si="9"/>
        <v>0</v>
      </c>
    </row>
    <row r="50" spans="1:18" x14ac:dyDescent="0.2">
      <c r="A50" s="25">
        <v>23</v>
      </c>
      <c r="B50" s="29">
        <f t="shared" si="0"/>
        <v>46084</v>
      </c>
      <c r="C50" s="20">
        <v>0</v>
      </c>
      <c r="D50" s="21">
        <f t="shared" si="1"/>
        <v>0</v>
      </c>
      <c r="E50" s="22" t="s">
        <v>32</v>
      </c>
      <c r="F50" s="19">
        <f t="shared" si="10"/>
        <v>0</v>
      </c>
      <c r="G50" s="19">
        <f t="shared" si="2"/>
        <v>0</v>
      </c>
      <c r="H50" s="19">
        <f t="shared" si="3"/>
        <v>0</v>
      </c>
      <c r="I50" s="19">
        <f t="shared" si="13"/>
        <v>0</v>
      </c>
      <c r="J50" s="19">
        <f t="shared" si="11"/>
        <v>0</v>
      </c>
      <c r="K50" s="19">
        <f t="shared" si="4"/>
        <v>0</v>
      </c>
      <c r="L50" s="19">
        <f t="shared" si="5"/>
        <v>0</v>
      </c>
      <c r="M50" s="19">
        <f t="shared" si="6"/>
        <v>0</v>
      </c>
      <c r="N50" s="19">
        <f t="shared" si="14"/>
        <v>0</v>
      </c>
      <c r="O50" s="19">
        <f t="shared" si="12"/>
        <v>0</v>
      </c>
      <c r="P50" s="19">
        <f t="shared" si="7"/>
        <v>0</v>
      </c>
      <c r="Q50" s="19">
        <f t="shared" si="8"/>
        <v>0</v>
      </c>
      <c r="R50" s="19">
        <f t="shared" si="9"/>
        <v>0</v>
      </c>
    </row>
    <row r="51" spans="1:18" x14ac:dyDescent="0.2">
      <c r="A51" s="25">
        <v>24</v>
      </c>
      <c r="B51" s="29">
        <f t="shared" si="0"/>
        <v>46264</v>
      </c>
      <c r="C51" s="20">
        <v>0</v>
      </c>
      <c r="D51" s="21">
        <f t="shared" si="1"/>
        <v>0</v>
      </c>
      <c r="E51" s="22" t="s">
        <v>32</v>
      </c>
      <c r="F51" s="19">
        <f t="shared" si="10"/>
        <v>0</v>
      </c>
      <c r="G51" s="19">
        <f t="shared" si="2"/>
        <v>0</v>
      </c>
      <c r="H51" s="19">
        <f t="shared" si="3"/>
        <v>0</v>
      </c>
      <c r="I51" s="19">
        <f t="shared" si="13"/>
        <v>0</v>
      </c>
      <c r="J51" s="19">
        <f t="shared" si="11"/>
        <v>0</v>
      </c>
      <c r="K51" s="19">
        <f t="shared" si="4"/>
        <v>0</v>
      </c>
      <c r="L51" s="19">
        <f t="shared" si="5"/>
        <v>0</v>
      </c>
      <c r="M51" s="19">
        <f t="shared" si="6"/>
        <v>0</v>
      </c>
      <c r="N51" s="19">
        <f t="shared" si="14"/>
        <v>0</v>
      </c>
      <c r="O51" s="19">
        <f t="shared" si="12"/>
        <v>0</v>
      </c>
      <c r="P51" s="19">
        <f t="shared" si="7"/>
        <v>0</v>
      </c>
      <c r="Q51" s="19">
        <f t="shared" si="8"/>
        <v>0</v>
      </c>
      <c r="R51" s="19">
        <f t="shared" si="9"/>
        <v>0</v>
      </c>
    </row>
    <row r="52" spans="1:18" x14ac:dyDescent="0.2">
      <c r="A52" s="25">
        <v>25</v>
      </c>
      <c r="B52" s="29">
        <f t="shared" si="0"/>
        <v>46444</v>
      </c>
      <c r="C52" s="20">
        <v>0</v>
      </c>
      <c r="D52" s="21">
        <f t="shared" si="1"/>
        <v>0</v>
      </c>
      <c r="E52" s="22" t="s">
        <v>32</v>
      </c>
      <c r="F52" s="19">
        <f t="shared" si="10"/>
        <v>0</v>
      </c>
      <c r="G52" s="19">
        <f t="shared" si="2"/>
        <v>0</v>
      </c>
      <c r="H52" s="19">
        <f t="shared" si="3"/>
        <v>0</v>
      </c>
      <c r="I52" s="19">
        <f t="shared" si="13"/>
        <v>0</v>
      </c>
      <c r="J52" s="19">
        <f t="shared" si="11"/>
        <v>0</v>
      </c>
      <c r="K52" s="19">
        <f t="shared" si="4"/>
        <v>0</v>
      </c>
      <c r="L52" s="19">
        <f t="shared" si="5"/>
        <v>0</v>
      </c>
      <c r="M52" s="19">
        <f t="shared" si="6"/>
        <v>0</v>
      </c>
      <c r="N52" s="19">
        <f t="shared" si="14"/>
        <v>0</v>
      </c>
      <c r="O52" s="19">
        <f t="shared" si="12"/>
        <v>0</v>
      </c>
      <c r="P52" s="19">
        <f t="shared" si="7"/>
        <v>0</v>
      </c>
      <c r="Q52" s="19">
        <f t="shared" si="8"/>
        <v>0</v>
      </c>
      <c r="R52" s="19">
        <f t="shared" si="9"/>
        <v>0</v>
      </c>
    </row>
    <row r="53" spans="1:18" x14ac:dyDescent="0.2">
      <c r="A53" s="25">
        <v>26</v>
      </c>
      <c r="B53" s="29">
        <f t="shared" si="0"/>
        <v>46624</v>
      </c>
      <c r="C53" s="20">
        <v>0</v>
      </c>
      <c r="D53" s="21">
        <f t="shared" si="1"/>
        <v>0</v>
      </c>
      <c r="E53" s="22" t="s">
        <v>32</v>
      </c>
      <c r="F53" s="19">
        <f t="shared" si="10"/>
        <v>0</v>
      </c>
      <c r="G53" s="19">
        <f t="shared" si="2"/>
        <v>0</v>
      </c>
      <c r="H53" s="19">
        <f t="shared" si="3"/>
        <v>0</v>
      </c>
      <c r="I53" s="19">
        <f t="shared" si="13"/>
        <v>0</v>
      </c>
      <c r="J53" s="19">
        <f t="shared" si="11"/>
        <v>0</v>
      </c>
      <c r="K53" s="19">
        <f t="shared" si="4"/>
        <v>0</v>
      </c>
      <c r="L53" s="19">
        <f t="shared" si="5"/>
        <v>0</v>
      </c>
      <c r="M53" s="19">
        <f t="shared" si="6"/>
        <v>0</v>
      </c>
      <c r="N53" s="19">
        <f t="shared" si="14"/>
        <v>0</v>
      </c>
      <c r="O53" s="19">
        <f t="shared" si="12"/>
        <v>0</v>
      </c>
      <c r="P53" s="19">
        <f t="shared" si="7"/>
        <v>0</v>
      </c>
      <c r="Q53" s="19">
        <f t="shared" si="8"/>
        <v>0</v>
      </c>
      <c r="R53" s="19">
        <f t="shared" si="9"/>
        <v>0</v>
      </c>
    </row>
    <row r="54" spans="1:18" x14ac:dyDescent="0.2">
      <c r="A54" s="25">
        <v>27</v>
      </c>
      <c r="B54" s="29">
        <f t="shared" si="0"/>
        <v>46804</v>
      </c>
      <c r="C54" s="20">
        <v>0</v>
      </c>
      <c r="D54" s="21">
        <f t="shared" si="1"/>
        <v>0</v>
      </c>
      <c r="E54" s="22" t="s">
        <v>32</v>
      </c>
      <c r="F54" s="19">
        <f t="shared" si="10"/>
        <v>0</v>
      </c>
      <c r="G54" s="19">
        <f t="shared" si="2"/>
        <v>0</v>
      </c>
      <c r="H54" s="19">
        <f t="shared" si="3"/>
        <v>0</v>
      </c>
      <c r="I54" s="19">
        <f t="shared" si="13"/>
        <v>0</v>
      </c>
      <c r="J54" s="19">
        <f t="shared" si="11"/>
        <v>0</v>
      </c>
      <c r="K54" s="19">
        <f t="shared" si="4"/>
        <v>0</v>
      </c>
      <c r="L54" s="19">
        <f t="shared" si="5"/>
        <v>0</v>
      </c>
      <c r="M54" s="19">
        <f t="shared" si="6"/>
        <v>0</v>
      </c>
      <c r="N54" s="19">
        <f t="shared" si="14"/>
        <v>0</v>
      </c>
      <c r="O54" s="19">
        <f t="shared" si="12"/>
        <v>0</v>
      </c>
      <c r="P54" s="19">
        <f t="shared" si="7"/>
        <v>0</v>
      </c>
      <c r="Q54" s="19">
        <f t="shared" si="8"/>
        <v>0</v>
      </c>
      <c r="R54" s="19">
        <f t="shared" si="9"/>
        <v>0</v>
      </c>
    </row>
    <row r="55" spans="1:18" x14ac:dyDescent="0.2">
      <c r="A55" s="25">
        <v>28</v>
      </c>
      <c r="B55" s="29">
        <f t="shared" si="0"/>
        <v>46984</v>
      </c>
      <c r="C55" s="20">
        <v>0</v>
      </c>
      <c r="D55" s="21">
        <f t="shared" si="1"/>
        <v>0</v>
      </c>
      <c r="E55" s="22" t="s">
        <v>32</v>
      </c>
      <c r="F55" s="19">
        <f t="shared" si="10"/>
        <v>0</v>
      </c>
      <c r="G55" s="19">
        <f t="shared" si="2"/>
        <v>0</v>
      </c>
      <c r="H55" s="19">
        <f t="shared" si="3"/>
        <v>0</v>
      </c>
      <c r="I55" s="19">
        <f t="shared" si="13"/>
        <v>0</v>
      </c>
      <c r="J55" s="19">
        <f t="shared" si="11"/>
        <v>0</v>
      </c>
      <c r="K55" s="19">
        <f t="shared" si="4"/>
        <v>0</v>
      </c>
      <c r="L55" s="19">
        <f t="shared" si="5"/>
        <v>0</v>
      </c>
      <c r="M55" s="19">
        <f t="shared" si="6"/>
        <v>0</v>
      </c>
      <c r="N55" s="19">
        <f t="shared" si="14"/>
        <v>0</v>
      </c>
      <c r="O55" s="19">
        <f t="shared" si="12"/>
        <v>0</v>
      </c>
      <c r="P55" s="19">
        <f t="shared" si="7"/>
        <v>0</v>
      </c>
      <c r="Q55" s="19">
        <f t="shared" si="8"/>
        <v>0</v>
      </c>
      <c r="R55" s="19">
        <f t="shared" si="9"/>
        <v>0</v>
      </c>
    </row>
    <row r="56" spans="1:18" x14ac:dyDescent="0.2">
      <c r="A56" s="25">
        <v>29</v>
      </c>
      <c r="B56" s="29">
        <f t="shared" si="0"/>
        <v>47164</v>
      </c>
      <c r="C56" s="20">
        <v>0</v>
      </c>
      <c r="D56" s="21">
        <f t="shared" si="1"/>
        <v>0</v>
      </c>
      <c r="E56" s="22" t="s">
        <v>32</v>
      </c>
      <c r="F56" s="19">
        <f t="shared" si="10"/>
        <v>0</v>
      </c>
      <c r="G56" s="19">
        <f t="shared" si="2"/>
        <v>0</v>
      </c>
      <c r="H56" s="19">
        <f t="shared" si="3"/>
        <v>0</v>
      </c>
      <c r="I56" s="19">
        <f t="shared" si="13"/>
        <v>0</v>
      </c>
      <c r="J56" s="19">
        <f t="shared" si="11"/>
        <v>0</v>
      </c>
      <c r="K56" s="19">
        <f t="shared" si="4"/>
        <v>0</v>
      </c>
      <c r="L56" s="19">
        <f t="shared" si="5"/>
        <v>0</v>
      </c>
      <c r="M56" s="19">
        <f t="shared" si="6"/>
        <v>0</v>
      </c>
      <c r="N56" s="19">
        <f t="shared" si="14"/>
        <v>0</v>
      </c>
      <c r="O56" s="19">
        <f t="shared" si="12"/>
        <v>0</v>
      </c>
      <c r="P56" s="19">
        <f t="shared" si="7"/>
        <v>0</v>
      </c>
      <c r="Q56" s="19">
        <f t="shared" si="8"/>
        <v>0</v>
      </c>
      <c r="R56" s="19">
        <f t="shared" si="9"/>
        <v>0</v>
      </c>
    </row>
    <row r="57" spans="1:18" x14ac:dyDescent="0.2">
      <c r="A57" s="25">
        <v>30</v>
      </c>
      <c r="B57" s="29">
        <f t="shared" si="0"/>
        <v>47344</v>
      </c>
      <c r="C57" s="20">
        <v>0</v>
      </c>
      <c r="D57" s="21">
        <f t="shared" si="1"/>
        <v>0</v>
      </c>
      <c r="E57" s="22" t="s">
        <v>32</v>
      </c>
      <c r="F57" s="19">
        <f t="shared" si="10"/>
        <v>0</v>
      </c>
      <c r="G57" s="19">
        <f t="shared" si="2"/>
        <v>0</v>
      </c>
      <c r="H57" s="19">
        <f t="shared" si="3"/>
        <v>0</v>
      </c>
      <c r="I57" s="19">
        <f t="shared" si="13"/>
        <v>0</v>
      </c>
      <c r="J57" s="19">
        <f t="shared" si="11"/>
        <v>0</v>
      </c>
      <c r="K57" s="19">
        <f t="shared" si="4"/>
        <v>0</v>
      </c>
      <c r="L57" s="19">
        <f t="shared" si="5"/>
        <v>0</v>
      </c>
      <c r="M57" s="19">
        <f t="shared" si="6"/>
        <v>0</v>
      </c>
      <c r="N57" s="19">
        <f t="shared" si="14"/>
        <v>0</v>
      </c>
      <c r="O57" s="19">
        <f t="shared" si="12"/>
        <v>0</v>
      </c>
      <c r="P57" s="19">
        <f t="shared" si="7"/>
        <v>0</v>
      </c>
      <c r="Q57" s="19">
        <f t="shared" si="8"/>
        <v>0</v>
      </c>
      <c r="R57" s="19">
        <f t="shared" si="9"/>
        <v>0</v>
      </c>
    </row>
  </sheetData>
  <mergeCells count="43">
    <mergeCell ref="B18:D18"/>
    <mergeCell ref="I18:K18"/>
    <mergeCell ref="I23:K23"/>
    <mergeCell ref="I24:K24"/>
    <mergeCell ref="B19:D19"/>
    <mergeCell ref="I19:K19"/>
    <mergeCell ref="B20:D20"/>
    <mergeCell ref="I20:K20"/>
    <mergeCell ref="I21:M21"/>
    <mergeCell ref="I22:K22"/>
    <mergeCell ref="B15:E15"/>
    <mergeCell ref="I15:K15"/>
    <mergeCell ref="B16:D16"/>
    <mergeCell ref="I16:L16"/>
    <mergeCell ref="B17:D17"/>
    <mergeCell ref="I17:K17"/>
    <mergeCell ref="B12:D12"/>
    <mergeCell ref="I12:K12"/>
    <mergeCell ref="B13:D13"/>
    <mergeCell ref="I13:L13"/>
    <mergeCell ref="B14:D14"/>
    <mergeCell ref="I14:K14"/>
    <mergeCell ref="I10:K10"/>
    <mergeCell ref="B11:D11"/>
    <mergeCell ref="I11:K11"/>
    <mergeCell ref="B9:D9"/>
    <mergeCell ref="I9:K9"/>
    <mergeCell ref="A1:R1"/>
    <mergeCell ref="A3:A20"/>
    <mergeCell ref="B3:E3"/>
    <mergeCell ref="H3:H24"/>
    <mergeCell ref="I3:L3"/>
    <mergeCell ref="B4:D4"/>
    <mergeCell ref="I4:K4"/>
    <mergeCell ref="B5:D5"/>
    <mergeCell ref="I5:K5"/>
    <mergeCell ref="B6:D6"/>
    <mergeCell ref="I6:K6"/>
    <mergeCell ref="B7:D7"/>
    <mergeCell ref="I7:K7"/>
    <mergeCell ref="B8:D8"/>
    <mergeCell ref="I8:K8"/>
    <mergeCell ref="B10:D10"/>
  </mergeCells>
  <conditionalFormatting sqref="E6 C28:C57 E11 E8 E13 E16:E19 E20:F20 F17:F19">
    <cfRule type="cellIs" dxfId="14" priority="17" stopIfTrue="1" operator="greaterThan">
      <formula>0</formula>
    </cfRule>
    <cfRule type="cellIs" dxfId="13" priority="18" stopIfTrue="1" operator="lessThan">
      <formula>0</formula>
    </cfRule>
  </conditionalFormatting>
  <conditionalFormatting sqref="E4:E5">
    <cfRule type="cellIs" dxfId="12" priority="15" stopIfTrue="1" operator="greaterThan">
      <formula>0</formula>
    </cfRule>
    <cfRule type="cellIs" dxfId="11" priority="16" stopIfTrue="1" operator="lessThan">
      <formula>0</formula>
    </cfRule>
  </conditionalFormatting>
  <conditionalFormatting sqref="E14">
    <cfRule type="cellIs" dxfId="10" priority="13" stopIfTrue="1" operator="greaterThan">
      <formula>0</formula>
    </cfRule>
    <cfRule type="cellIs" dxfId="9" priority="14" stopIfTrue="1" operator="lessThan">
      <formula>0</formula>
    </cfRule>
  </conditionalFormatting>
  <conditionalFormatting sqref="E7">
    <cfRule type="cellIs" dxfId="8" priority="11" stopIfTrue="1" operator="greaterThan">
      <formula>0</formula>
    </cfRule>
    <cfRule type="cellIs" dxfId="7" priority="12" stopIfTrue="1" operator="lessThan">
      <formula>0</formula>
    </cfRule>
  </conditionalFormatting>
  <conditionalFormatting sqref="E9">
    <cfRule type="cellIs" dxfId="6" priority="7" stopIfTrue="1" operator="greaterThan">
      <formula>0</formula>
    </cfRule>
    <cfRule type="cellIs" dxfId="5" priority="8" stopIfTrue="1" operator="lessThan">
      <formula>0</formula>
    </cfRule>
  </conditionalFormatting>
  <conditionalFormatting sqref="E12">
    <cfRule type="cellIs" dxfId="4" priority="5" stopIfTrue="1" operator="greaterThan">
      <formula>0</formula>
    </cfRule>
    <cfRule type="cellIs" dxfId="3" priority="6" stopIfTrue="1" operator="lessThan">
      <formula>0</formula>
    </cfRule>
  </conditionalFormatting>
  <conditionalFormatting sqref="E10">
    <cfRule type="expression" dxfId="2" priority="1">
      <formula>$E$9="Efectiva"</formula>
    </cfRule>
    <cfRule type="cellIs" dxfId="1" priority="2" stopIfTrue="1" operator="greaterThan">
      <formula>0</formula>
    </cfRule>
    <cfRule type="cellIs" dxfId="0" priority="3" stopIfTrue="1" operator="lessThan">
      <formula>0</formula>
    </cfRule>
  </conditionalFormatting>
  <dataValidations count="6">
    <dataValidation type="list" allowBlank="1" showInputMessage="1" showErrorMessage="1" errorTitle="ERROR" error="Debe de elejir entre pagada en &quot;EFECTIVO&quot; o ser incluida dentro del &quot;PRESTAMO&quot;" sqref="F17:F20" xr:uid="{00000000-0002-0000-0100-000000000000}">
      <formula1>"Emisor,Bonista,Ambos"</formula1>
    </dataValidation>
    <dataValidation type="list" allowBlank="1" showInputMessage="1" showErrorMessage="1" errorTitle="ERROR" error="Debe elegir una frecuencia de pago válida" sqref="E10" xr:uid="{00000000-0002-0000-0100-000001000000}">
      <formula1>"Diaria,Quincenal,Mensual,Bimestral,Trimestral,Cuatrimestral,Semestral,Anual"</formula1>
    </dataValidation>
    <dataValidation type="list" allowBlank="1" showInputMessage="1" showErrorMessage="1" errorTitle="ERROR" error="Debe elegir una frecuencia de pago válida" sqref="E9" xr:uid="{00000000-0002-0000-0100-000002000000}">
      <formula1>"Nominal,Efectiva"</formula1>
    </dataValidation>
    <dataValidation type="list" allowBlank="1" showInputMessage="1" showErrorMessage="1" sqref="E8" xr:uid="{00000000-0002-0000-0100-000003000000}">
      <formula1>"360,365"</formula1>
    </dataValidation>
    <dataValidation type="list" allowBlank="1" showInputMessage="1" showErrorMessage="1" errorTitle="ERROR" error="Debe elegir una frecuencia de pago válida" sqref="E7" xr:uid="{00000000-0002-0000-0100-000004000000}">
      <formula1>"Mensual,Bimestral,Trimestral,Cuatrimestral,Semestral,Anual"</formula1>
    </dataValidation>
    <dataValidation type="list" allowBlank="1" showInputMessage="1" showErrorMessage="1" sqref="E28:E57" xr:uid="{00000000-0002-0000-0100-000005000000}">
      <formula1>"T,P,S"</formula1>
    </dataValidation>
  </dataValidations>
  <printOptions horizontalCentered="1" verticalCentered="1"/>
  <pageMargins left="0.75" right="0.75" top="1" bottom="1" header="0" footer="0"/>
  <pageSetup paperSize="9" orientation="landscape" horizontalDpi="4294967293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Bono Frances</vt:lpstr>
      <vt:lpstr>Bono Alemán</vt:lpstr>
      <vt:lpstr>'Bono Alemán'!Print_Area</vt:lpstr>
      <vt:lpstr>'Bono Frances'!Print_Area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M. Martín Senmache S.</dc:creator>
  <cp:lastModifiedBy>luis galindo honores</cp:lastModifiedBy>
  <cp:lastPrinted>2004-06-16T15:02:12Z</cp:lastPrinted>
  <dcterms:created xsi:type="dcterms:W3CDTF">2003-06-24T07:34:46Z</dcterms:created>
  <dcterms:modified xsi:type="dcterms:W3CDTF">2018-06-26T22:05:34Z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50b7d693-1266-48b4-9114-5cc2cca335af</vt:lpwstr>
  </property>
</Properties>
</file>